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f1e2ab221cd909/Documentos/Nereidas/Projetos Nereidas/Eleva Pensi/Eleva Pensi 3.0/2 onda/Elite Irajá/"/>
    </mc:Choice>
  </mc:AlternateContent>
  <xr:revisionPtr revIDLastSave="0" documentId="8_{498F23DC-475C-4076-B861-B0EC173001F2}" xr6:coauthVersionLast="46" xr6:coauthVersionMax="46" xr10:uidLastSave="{00000000-0000-0000-0000-000000000000}"/>
  <bookViews>
    <workbookView xWindow="20370" yWindow="-120" windowWidth="20730" windowHeight="11160" tabRatio="500" xr2:uid="{00000000-000D-0000-FFFF-FFFF00000000}"/>
  </bookViews>
  <sheets>
    <sheet name="Penha 2" sheetId="1" r:id="rId1"/>
  </sheets>
  <definedNames>
    <definedName name="_xlnm.Print_Titles" localSheetId="0">'Penha 2'!$1:$8</definedName>
  </definedNames>
  <calcPr calcId="191028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1" l="1"/>
  <c r="G9" i="1"/>
  <c r="G21" i="1"/>
  <c r="G37" i="1"/>
  <c r="E33" i="1"/>
  <c r="E31" i="1"/>
  <c r="E25" i="1"/>
  <c r="G22" i="1" l="1"/>
  <c r="G23" i="1"/>
  <c r="G24" i="1"/>
  <c r="G25" i="1"/>
  <c r="G26" i="1"/>
  <c r="G27" i="1"/>
  <c r="G28" i="1"/>
  <c r="G29" i="1"/>
  <c r="G30" i="1"/>
  <c r="G31" i="1"/>
  <c r="G32" i="1"/>
  <c r="G33" i="1"/>
  <c r="G34" i="1"/>
  <c r="G38" i="1"/>
  <c r="G10" i="1"/>
  <c r="G11" i="1"/>
  <c r="G12" i="1"/>
  <c r="G13" i="1"/>
  <c r="G14" i="1"/>
  <c r="G39" i="1"/>
  <c r="G40" i="1"/>
  <c r="G41" i="1"/>
  <c r="G42" i="1"/>
  <c r="G43" i="1"/>
  <c r="C47" i="1"/>
  <c r="C48" i="1"/>
  <c r="C46" i="1"/>
  <c r="C45" i="1"/>
  <c r="G17" i="1"/>
  <c r="G46" i="1" s="1"/>
  <c r="G47" i="1" l="1"/>
  <c r="G48" i="1"/>
  <c r="G45" i="1"/>
  <c r="G49" i="1" l="1"/>
</calcChain>
</file>

<file path=xl/sharedStrings.xml><?xml version="1.0" encoding="utf-8"?>
<sst xmlns="http://schemas.openxmlformats.org/spreadsheetml/2006/main" count="114" uniqueCount="77">
  <si>
    <t>OPERAÇÕES DE TI</t>
  </si>
  <si>
    <t>Item</t>
  </si>
  <si>
    <t>D i s c r i m i n a ç ã o</t>
  </si>
  <si>
    <t>Unidade</t>
  </si>
  <si>
    <t>Preço Unitário</t>
  </si>
  <si>
    <t>1.0</t>
  </si>
  <si>
    <t>1.1</t>
  </si>
  <si>
    <t>un</t>
  </si>
  <si>
    <t>1.3</t>
  </si>
  <si>
    <t>1.4</t>
  </si>
  <si>
    <t>1.5</t>
  </si>
  <si>
    <t>2.0</t>
  </si>
  <si>
    <t>2.1</t>
  </si>
  <si>
    <t>3.0</t>
  </si>
  <si>
    <t>3.1</t>
  </si>
  <si>
    <t>3.2</t>
  </si>
  <si>
    <t>3.3</t>
  </si>
  <si>
    <t>3.4</t>
  </si>
  <si>
    <t>3.5</t>
  </si>
  <si>
    <t>4.0</t>
  </si>
  <si>
    <t>4.2</t>
  </si>
  <si>
    <t>4.3</t>
  </si>
  <si>
    <t>4.4</t>
  </si>
  <si>
    <t>m</t>
  </si>
  <si>
    <t>Valor Total Opção de Execução</t>
  </si>
  <si>
    <t>1.</t>
  </si>
  <si>
    <t>2.</t>
  </si>
  <si>
    <t>3.</t>
  </si>
  <si>
    <t>Total</t>
  </si>
  <si>
    <t>Serviço/Dia - Técnico Nereidas Cabeamento – Site Rio</t>
  </si>
  <si>
    <t>Serviço/Dia - Supervisão Nereidas</t>
  </si>
  <si>
    <t>Gestão</t>
  </si>
  <si>
    <t>Fornecimento de CONECTOR FEMEA SOHOPLUS CAT.5E T568A/B</t>
  </si>
  <si>
    <t>Fornecimento de CABO TRANSMISSÃO DE DADOS SOHOPLUS U/UTP CAT.5E</t>
  </si>
  <si>
    <t>4.5</t>
  </si>
  <si>
    <t>4.6</t>
  </si>
  <si>
    <t>Fornecimento de Pilha p/ Etiquetadora</t>
  </si>
  <si>
    <t>Diária ajudante Cabeamento – Site Rio</t>
  </si>
  <si>
    <t>Fornecimento de Velcro Rolo 25Metros</t>
  </si>
  <si>
    <t>Orçamento da Certificação da Infraestrutura</t>
  </si>
  <si>
    <t>Certificação de ponto de lógica (MÃO-DE-OBRA)</t>
  </si>
  <si>
    <t>4.</t>
  </si>
  <si>
    <t xml:space="preserve">Orçamento de Material para LAN - Cat 5E </t>
  </si>
  <si>
    <t>Custo Total</t>
  </si>
  <si>
    <t>MATERIAL/OPERACIONAL</t>
  </si>
  <si>
    <t>1.6</t>
  </si>
  <si>
    <t>Insulmos</t>
  </si>
  <si>
    <t>Soma Total</t>
  </si>
  <si>
    <t>Orçamento da Infra Seca</t>
  </si>
  <si>
    <t>Instalações de Infra Fisica + Rede Lógica para LAN (MÃO-DE-OBRA)</t>
  </si>
  <si>
    <t>3.6</t>
  </si>
  <si>
    <t>3.7</t>
  </si>
  <si>
    <t>3.9</t>
  </si>
  <si>
    <t>3.10</t>
  </si>
  <si>
    <t>3.12</t>
  </si>
  <si>
    <t>3.13</t>
  </si>
  <si>
    <t>Fornecimento de CONECTOR MACHO SOHOPLUS CAT.5E T568A/B</t>
  </si>
  <si>
    <t>3.8</t>
  </si>
  <si>
    <t>3.11</t>
  </si>
  <si>
    <t>4.1</t>
  </si>
  <si>
    <t>Qtde.</t>
  </si>
  <si>
    <t>Fornecimento de Parafusos e Buchas 8mm</t>
  </si>
  <si>
    <t>Insulmos Disco Corte Fino Inox 4.1/2 X 1,0mm Esmerilhadeira Starrett</t>
  </si>
  <si>
    <t>Fornecimento de Tubo Galvanizado 1"</t>
  </si>
  <si>
    <t>Fornecimento de Curva Galvanizada aluminio 1"</t>
  </si>
  <si>
    <t>Fornecimeno de Caixa condulete 1"</t>
  </si>
  <si>
    <t>Fornecimento de Luvas para Tubo Galvanizado 1"</t>
  </si>
  <si>
    <t>Fornecimento de acabamento para condulete Tapa Furo 1"</t>
  </si>
  <si>
    <t>Fornecimento de Fita para Etiquetadora PT-70 Brother</t>
  </si>
  <si>
    <t>CLIENTE: Eleva</t>
  </si>
  <si>
    <t>Fornecimento de Tampa Cega 1"</t>
  </si>
  <si>
    <t>PROJETO Eleva 3.0 Elite Irajá</t>
  </si>
  <si>
    <t>Fornecimento de SealTubo c/ alma 1"</t>
  </si>
  <si>
    <t>Box Redutor de 1 1/2 para 1"</t>
  </si>
  <si>
    <t>Fornecimento de box para Caixa 1" de passagem (Conexão)</t>
  </si>
  <si>
    <t>Fornecimento de Abracadeiras 1"</t>
  </si>
  <si>
    <t>Fornecimento de Tampa RJ45 condulete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</si>
</sst>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\-??_);_(@_)"/>
  </numFmts>
  <fonts count="10" x14ac:knownFonts="1">
    <font>
      <sz val="10"/>
      <name val="Arial"/>
      <charset val="1"/>
    </font>
    <font>
      <sz val="10"/>
      <name val="Arial"/>
      <family val="2"/>
      <charset val="1"/>
    </font>
    <font>
      <b/>
      <sz val="13"/>
      <name val="Arial"/>
      <family val="2"/>
      <charset val="1"/>
    </font>
    <font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sz val="8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333333"/>
        <bgColor rgb="FF2E3436"/>
      </patternFill>
    </fill>
    <fill>
      <patternFill patternType="solid">
        <fgColor rgb="FFFFFFFF"/>
        <bgColor rgb="FFFFFFCC"/>
      </patternFill>
    </fill>
    <fill>
      <patternFill patternType="solid">
        <fgColor theme="1" tint="0.249977111117893"/>
        <bgColor rgb="FFFFFFCC"/>
      </patternFill>
    </fill>
  </fills>
  <borders count="43">
    <border>
      <left/>
      <right/>
      <top/>
      <bottom/>
      <diagonal/>
    </border>
    <border>
      <left style="medium">
        <color rgb="FF2E3436"/>
      </left>
      <right style="medium">
        <color rgb="FF2E3436"/>
      </right>
      <top style="medium">
        <color rgb="FF2E3436"/>
      </top>
      <bottom/>
      <diagonal/>
    </border>
    <border>
      <left style="medium">
        <color rgb="FF2E3436"/>
      </left>
      <right style="medium">
        <color rgb="FF2E3436"/>
      </right>
      <top/>
      <bottom/>
      <diagonal/>
    </border>
    <border>
      <left style="medium">
        <color rgb="FF2E3436"/>
      </left>
      <right style="medium">
        <color rgb="FF2E3436"/>
      </right>
      <top/>
      <bottom style="medium">
        <color rgb="FF2E3436"/>
      </bottom>
      <diagonal/>
    </border>
    <border>
      <left style="medium">
        <color rgb="FF2E3436"/>
      </left>
      <right style="thin">
        <color rgb="FF2E3436"/>
      </right>
      <top style="medium">
        <color rgb="FF2E3436"/>
      </top>
      <bottom style="medium">
        <color rgb="FF2E3436"/>
      </bottom>
      <diagonal/>
    </border>
    <border>
      <left style="thin">
        <color rgb="FF2E3436"/>
      </left>
      <right/>
      <top style="medium">
        <color rgb="FF2E3436"/>
      </top>
      <bottom style="medium">
        <color rgb="FF2E3436"/>
      </bottom>
      <diagonal/>
    </border>
    <border>
      <left style="medium">
        <color rgb="FF2E3436"/>
      </left>
      <right style="thin">
        <color rgb="FF2E3436"/>
      </right>
      <top style="medium">
        <color rgb="FF2E3436"/>
      </top>
      <bottom/>
      <diagonal/>
    </border>
    <border>
      <left style="thin">
        <color rgb="FF2E3436"/>
      </left>
      <right/>
      <top style="medium">
        <color rgb="FF2E3436"/>
      </top>
      <bottom/>
      <diagonal/>
    </border>
    <border>
      <left style="thin">
        <color rgb="FF2E3436"/>
      </left>
      <right style="thin">
        <color rgb="FF2E3436"/>
      </right>
      <top style="medium">
        <color rgb="FF2E3436"/>
      </top>
      <bottom/>
      <diagonal/>
    </border>
    <border>
      <left style="thin">
        <color rgb="FF2E3436"/>
      </left>
      <right style="medium">
        <color rgb="FF2E3436"/>
      </right>
      <top style="medium">
        <color rgb="FF2E3436"/>
      </top>
      <bottom/>
      <diagonal/>
    </border>
    <border>
      <left style="medium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>
      <left style="thin">
        <color rgb="FF2E3436"/>
      </left>
      <right style="thin">
        <color rgb="FF2E3436"/>
      </right>
      <top style="thin">
        <color rgb="FF2E3436"/>
      </top>
      <bottom style="thin">
        <color rgb="FF2E3436"/>
      </bottom>
      <diagonal/>
    </border>
    <border>
      <left style="thin">
        <color rgb="FF2E3436"/>
      </left>
      <right style="medium">
        <color rgb="FF2E3436"/>
      </right>
      <top style="thin">
        <color rgb="FF2E3436"/>
      </top>
      <bottom style="thin">
        <color rgb="FF2E343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2E3436"/>
      </left>
      <right style="thin">
        <color rgb="FF2E3436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E3436"/>
      </left>
      <right/>
      <top/>
      <bottom/>
      <diagonal/>
    </border>
    <border>
      <left style="medium">
        <color rgb="FF2E3436"/>
      </left>
      <right/>
      <top/>
      <bottom style="medium">
        <color rgb="FF2E3436"/>
      </bottom>
      <diagonal/>
    </border>
    <border>
      <left style="medium">
        <color rgb="FF2E3436"/>
      </left>
      <right/>
      <top style="medium">
        <color rgb="FF2E3436"/>
      </top>
      <bottom/>
      <diagonal/>
    </border>
    <border>
      <left style="thin">
        <color rgb="FF2E3436"/>
      </left>
      <right style="thin">
        <color rgb="FF2E3436"/>
      </right>
      <top/>
      <bottom style="medium">
        <color rgb="FF2E3436"/>
      </bottom>
      <diagonal/>
    </border>
    <border>
      <left style="thin">
        <color rgb="FF2E3436"/>
      </left>
      <right/>
      <top/>
      <bottom style="medium">
        <color rgb="FF2E343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2E3436"/>
      </left>
      <right style="medium">
        <color rgb="FF2E3436"/>
      </right>
      <top/>
      <bottom/>
      <diagonal/>
    </border>
    <border>
      <left style="medium">
        <color rgb="FF2E3436"/>
      </left>
      <right style="thin">
        <color rgb="FF2E3436"/>
      </right>
      <top/>
      <bottom style="thin">
        <color rgb="FF2E3436"/>
      </bottom>
      <diagonal/>
    </border>
    <border>
      <left style="thin">
        <color rgb="FF2E3436"/>
      </left>
      <right style="thin">
        <color rgb="FF2E3436"/>
      </right>
      <top/>
      <bottom style="thin">
        <color rgb="FF2E3436"/>
      </bottom>
      <diagonal/>
    </border>
    <border>
      <left style="thin">
        <color rgb="FF2E3436"/>
      </left>
      <right style="medium">
        <color rgb="FF2E3436"/>
      </right>
      <top/>
      <bottom style="thin">
        <color rgb="FF2E3436"/>
      </bottom>
      <diagonal/>
    </border>
    <border>
      <left/>
      <right style="thin">
        <color rgb="FF2E3436"/>
      </right>
      <top/>
      <bottom style="medium">
        <color indexed="64"/>
      </bottom>
      <diagonal/>
    </border>
    <border>
      <left style="thin">
        <color rgb="FF2E3436"/>
      </left>
      <right style="thin">
        <color rgb="FF2E3436"/>
      </right>
      <top/>
      <bottom style="medium">
        <color indexed="64"/>
      </bottom>
      <diagonal/>
    </border>
    <border>
      <left style="thin">
        <color rgb="FF2E3436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2E3436"/>
      </right>
      <top style="medium">
        <color indexed="64"/>
      </top>
      <bottom/>
      <diagonal/>
    </border>
    <border>
      <left style="thin">
        <color rgb="FF2E3436"/>
      </left>
      <right style="thin">
        <color rgb="FF2E3436"/>
      </right>
      <top style="medium">
        <color indexed="64"/>
      </top>
      <bottom/>
      <diagonal/>
    </border>
    <border>
      <left style="thin">
        <color rgb="FF2E3436"/>
      </left>
      <right style="medium">
        <color indexed="64"/>
      </right>
      <top style="medium">
        <color indexed="64"/>
      </top>
      <bottom/>
      <diagonal/>
    </border>
    <border>
      <left style="thin">
        <color rgb="FF2E3436"/>
      </left>
      <right style="thin">
        <color indexed="64"/>
      </right>
      <top style="medium">
        <color indexed="64"/>
      </top>
      <bottom/>
      <diagonal/>
    </border>
    <border>
      <left style="thin">
        <color rgb="FF2E3436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5" fillId="0" borderId="0" applyBorder="0" applyProtection="0"/>
    <xf numFmtId="0" fontId="1" fillId="0" borderId="0"/>
    <xf numFmtId="44" fontId="5" fillId="0" borderId="0" applyFont="0" applyFill="0" applyBorder="0" applyAlignment="0" applyProtection="0"/>
    <xf numFmtId="0" fontId="9" fillId="0" borderId="0"/>
  </cellStyleXfs>
  <cellXfs count="85">
    <xf numFmtId="0" fontId="0" fillId="0" borderId="0" xfId="0"/>
    <xf numFmtId="0" fontId="1" fillId="0" borderId="0" xfId="2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1" fontId="1" fillId="0" borderId="0" xfId="2" applyNumberFormat="1" applyFont="1" applyAlignment="1" applyProtection="1">
      <alignment vertical="center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1" fontId="4" fillId="0" borderId="8" xfId="1" applyNumberFormat="1" applyFont="1" applyBorder="1" applyAlignment="1" applyProtection="1">
      <alignment horizontal="center" vertical="center" wrapText="1"/>
      <protection locked="0"/>
    </xf>
    <xf numFmtId="164" fontId="4" fillId="0" borderId="7" xfId="1" applyFont="1" applyBorder="1" applyAlignment="1" applyProtection="1">
      <alignment horizontal="center" vertical="center" wrapText="1"/>
      <protection locked="0"/>
    </xf>
    <xf numFmtId="0" fontId="4" fillId="2" borderId="10" xfId="2" applyFont="1" applyFill="1" applyBorder="1" applyAlignment="1" applyProtection="1">
      <alignment horizontal="center" vertical="center" wrapText="1" shrinkToFit="1"/>
    </xf>
    <xf numFmtId="0" fontId="4" fillId="2" borderId="11" xfId="2" applyFont="1" applyFill="1" applyBorder="1" applyAlignment="1" applyProtection="1">
      <alignment horizontal="left" vertical="center" wrapText="1" shrinkToFit="1"/>
    </xf>
    <xf numFmtId="0" fontId="1" fillId="2" borderId="11" xfId="2" applyFont="1" applyFill="1" applyBorder="1" applyAlignment="1" applyProtection="1">
      <alignment horizontal="right" vertical="center" wrapText="1" shrinkToFit="1"/>
      <protection locked="0"/>
    </xf>
    <xf numFmtId="1" fontId="1" fillId="2" borderId="11" xfId="1" applyNumberFormat="1" applyFont="1" applyFill="1" applyBorder="1" applyAlignment="1" applyProtection="1">
      <alignment horizontal="right" vertical="center" wrapText="1" shrinkToFit="1"/>
      <protection locked="0"/>
    </xf>
    <xf numFmtId="164" fontId="1" fillId="2" borderId="11" xfId="1" applyFont="1" applyFill="1" applyBorder="1" applyAlignment="1" applyProtection="1">
      <alignment horizontal="right" vertical="center" wrapText="1" shrinkToFit="1"/>
      <protection locked="0"/>
    </xf>
    <xf numFmtId="0" fontId="1" fillId="0" borderId="0" xfId="2" applyFont="1" applyAlignment="1" applyProtection="1">
      <alignment vertical="center"/>
    </xf>
    <xf numFmtId="0" fontId="1" fillId="0" borderId="10" xfId="2" applyFont="1" applyBorder="1" applyAlignment="1" applyProtection="1">
      <alignment horizontal="center" vertical="center" wrapText="1" shrinkToFit="1"/>
    </xf>
    <xf numFmtId="0" fontId="1" fillId="0" borderId="13" xfId="2" applyFont="1" applyBorder="1" applyAlignment="1">
      <alignment horizontal="left" vertical="center" wrapText="1" shrinkToFit="1"/>
    </xf>
    <xf numFmtId="0" fontId="1" fillId="0" borderId="11" xfId="2" applyFont="1" applyBorder="1" applyAlignment="1" applyProtection="1">
      <alignment horizontal="center" vertical="center" wrapText="1" shrinkToFit="1"/>
      <protection locked="0"/>
    </xf>
    <xf numFmtId="1" fontId="1" fillId="0" borderId="11" xfId="1" applyNumberFormat="1" applyFont="1" applyBorder="1" applyAlignment="1" applyProtection="1">
      <alignment horizontal="center" vertical="center"/>
      <protection locked="0"/>
    </xf>
    <xf numFmtId="0" fontId="1" fillId="0" borderId="0" xfId="2" applyFont="1" applyAlignment="1" applyProtection="1">
      <alignment horizontal="center" vertical="center"/>
    </xf>
    <xf numFmtId="0" fontId="1" fillId="0" borderId="11" xfId="2" applyFont="1" applyBorder="1" applyAlignment="1" applyProtection="1">
      <alignment horizontal="left" vertical="center" wrapText="1" shrinkToFit="1"/>
    </xf>
    <xf numFmtId="1" fontId="1" fillId="0" borderId="11" xfId="1" applyNumberFormat="1" applyFont="1" applyBorder="1" applyAlignment="1" applyProtection="1">
      <alignment horizontal="right" vertical="center" wrapText="1" shrinkToFit="1"/>
      <protection locked="0"/>
    </xf>
    <xf numFmtId="0" fontId="1" fillId="0" borderId="0" xfId="2" applyFont="1" applyBorder="1" applyAlignment="1">
      <alignment horizontal="left" vertical="center" wrapText="1" shrinkToFit="1"/>
    </xf>
    <xf numFmtId="0" fontId="1" fillId="4" borderId="10" xfId="2" applyFont="1" applyFill="1" applyBorder="1" applyAlignment="1" applyProtection="1">
      <alignment horizontal="center" vertical="center"/>
    </xf>
    <xf numFmtId="0" fontId="1" fillId="4" borderId="11" xfId="2" applyFont="1" applyFill="1" applyBorder="1" applyAlignment="1" applyProtection="1">
      <alignment horizontal="left" vertical="center"/>
    </xf>
    <xf numFmtId="0" fontId="0" fillId="0" borderId="16" xfId="0" applyBorder="1"/>
    <xf numFmtId="0" fontId="6" fillId="5" borderId="10" xfId="2" applyFont="1" applyFill="1" applyBorder="1" applyAlignment="1" applyProtection="1">
      <alignment horizontal="center" vertical="center"/>
    </xf>
    <xf numFmtId="0" fontId="6" fillId="5" borderId="11" xfId="2" applyFont="1" applyFill="1" applyBorder="1" applyAlignment="1" applyProtection="1">
      <alignment horizontal="left" vertical="center"/>
    </xf>
    <xf numFmtId="0" fontId="7" fillId="3" borderId="14" xfId="2" applyFont="1" applyFill="1" applyBorder="1" applyAlignment="1" applyProtection="1">
      <alignment horizontal="center" vertical="center" wrapText="1" shrinkToFit="1"/>
    </xf>
    <xf numFmtId="44" fontId="4" fillId="2" borderId="12" xfId="3" applyFont="1" applyFill="1" applyBorder="1" applyAlignment="1" applyProtection="1">
      <alignment vertical="center"/>
    </xf>
    <xf numFmtId="44" fontId="1" fillId="0" borderId="12" xfId="3" applyFont="1" applyBorder="1" applyAlignment="1" applyProtection="1">
      <alignment horizontal="center" vertical="center"/>
      <protection locked="0"/>
    </xf>
    <xf numFmtId="44" fontId="1" fillId="0" borderId="12" xfId="3" applyFont="1" applyBorder="1" applyAlignment="1" applyProtection="1">
      <alignment horizontal="right" vertical="center" wrapText="1" shrinkToFit="1"/>
      <protection locked="0"/>
    </xf>
    <xf numFmtId="44" fontId="7" fillId="3" borderId="9" xfId="3" applyFont="1" applyFill="1" applyBorder="1" applyAlignment="1" applyProtection="1">
      <alignment horizontal="center" vertical="center" wrapText="1"/>
    </xf>
    <xf numFmtId="44" fontId="1" fillId="4" borderId="12" xfId="3" applyFont="1" applyFill="1" applyBorder="1" applyAlignment="1" applyProtection="1">
      <alignment horizontal="center" vertical="center"/>
      <protection locked="0"/>
    </xf>
    <xf numFmtId="44" fontId="6" fillId="5" borderId="12" xfId="3" applyFont="1" applyFill="1" applyBorder="1" applyAlignment="1" applyProtection="1">
      <alignment horizontal="center" vertical="center"/>
      <protection locked="0"/>
    </xf>
    <xf numFmtId="44" fontId="1" fillId="0" borderId="11" xfId="3" applyFont="1" applyBorder="1" applyAlignment="1" applyProtection="1">
      <alignment horizontal="center" vertical="center"/>
      <protection locked="0"/>
    </xf>
    <xf numFmtId="44" fontId="1" fillId="2" borderId="11" xfId="3" applyFont="1" applyFill="1" applyBorder="1" applyAlignment="1" applyProtection="1">
      <alignment horizontal="right" vertical="center" wrapText="1" shrinkToFit="1"/>
      <protection locked="0"/>
    </xf>
    <xf numFmtId="0" fontId="4" fillId="0" borderId="20" xfId="0" applyFont="1" applyBorder="1" applyAlignment="1" applyProtection="1">
      <alignment horizontal="center" vertical="center" wrapText="1"/>
    </xf>
    <xf numFmtId="1" fontId="4" fillId="0" borderId="20" xfId="0" applyNumberFormat="1" applyFont="1" applyBorder="1" applyAlignment="1" applyProtection="1">
      <alignment horizontal="center" vertical="center" wrapText="1"/>
    </xf>
    <xf numFmtId="0" fontId="4" fillId="0" borderId="21" xfId="0" applyFont="1" applyBorder="1" applyAlignment="1" applyProtection="1">
      <alignment horizontal="center" vertical="center" wrapText="1"/>
    </xf>
    <xf numFmtId="0" fontId="5" fillId="0" borderId="16" xfId="0" applyFont="1" applyBorder="1"/>
    <xf numFmtId="0" fontId="4" fillId="0" borderId="30" xfId="0" applyFont="1" applyBorder="1" applyAlignment="1" applyProtection="1">
      <alignment horizontal="center" vertical="center" wrapText="1"/>
    </xf>
    <xf numFmtId="164" fontId="4" fillId="0" borderId="31" xfId="1" applyFont="1" applyBorder="1" applyAlignment="1" applyProtection="1">
      <alignment horizontal="center" vertical="center" wrapText="1"/>
      <protection locked="0"/>
    </xf>
    <xf numFmtId="0" fontId="4" fillId="2" borderId="32" xfId="2" applyFont="1" applyFill="1" applyBorder="1" applyAlignment="1" applyProtection="1">
      <alignment horizontal="center" vertical="center" wrapText="1" shrinkToFit="1"/>
    </xf>
    <xf numFmtId="0" fontId="4" fillId="2" borderId="33" xfId="2" applyFont="1" applyFill="1" applyBorder="1" applyAlignment="1" applyProtection="1">
      <alignment horizontal="left" vertical="center" wrapText="1" shrinkToFit="1"/>
    </xf>
    <xf numFmtId="0" fontId="1" fillId="2" borderId="33" xfId="2" applyFont="1" applyFill="1" applyBorder="1" applyAlignment="1" applyProtection="1">
      <alignment horizontal="right" vertical="center" wrapText="1" shrinkToFit="1"/>
      <protection locked="0"/>
    </xf>
    <xf numFmtId="1" fontId="1" fillId="2" borderId="33" xfId="1" applyNumberFormat="1" applyFont="1" applyFill="1" applyBorder="1" applyAlignment="1" applyProtection="1">
      <alignment horizontal="right" vertical="center" wrapText="1" shrinkToFit="1"/>
      <protection locked="0"/>
    </xf>
    <xf numFmtId="44" fontId="1" fillId="2" borderId="33" xfId="3" applyFont="1" applyFill="1" applyBorder="1" applyAlignment="1" applyProtection="1">
      <alignment horizontal="right" vertical="center" wrapText="1" shrinkToFit="1"/>
      <protection locked="0"/>
    </xf>
    <xf numFmtId="44" fontId="4" fillId="2" borderId="34" xfId="3" applyFont="1" applyFill="1" applyBorder="1" applyAlignment="1" applyProtection="1">
      <alignment vertical="center"/>
    </xf>
    <xf numFmtId="0" fontId="1" fillId="0" borderId="10" xfId="2" applyBorder="1" applyAlignment="1">
      <alignment horizontal="center" vertical="center" wrapText="1" shrinkToFit="1"/>
    </xf>
    <xf numFmtId="0" fontId="1" fillId="0" borderId="11" xfId="2" applyBorder="1" applyAlignment="1" applyProtection="1">
      <alignment horizontal="center" vertical="center" wrapText="1" shrinkToFit="1"/>
      <protection locked="0"/>
    </xf>
    <xf numFmtId="0" fontId="1" fillId="0" borderId="13" xfId="2" applyBorder="1" applyAlignment="1">
      <alignment horizontal="left" vertical="center" wrapText="1" shrinkToFit="1"/>
    </xf>
    <xf numFmtId="44" fontId="5" fillId="0" borderId="15" xfId="3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 wrapText="1"/>
    </xf>
    <xf numFmtId="0" fontId="4" fillId="0" borderId="37" xfId="0" applyFont="1" applyBorder="1" applyAlignment="1" applyProtection="1">
      <alignment horizontal="center" vertical="center" wrapText="1"/>
    </xf>
    <xf numFmtId="0" fontId="4" fillId="0" borderId="22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</xf>
    <xf numFmtId="0" fontId="4" fillId="0" borderId="38" xfId="0" applyFont="1" applyBorder="1" applyAlignment="1" applyProtection="1">
      <alignment horizontal="center" vertical="center" wrapText="1"/>
    </xf>
    <xf numFmtId="0" fontId="4" fillId="0" borderId="35" xfId="0" applyFont="1" applyBorder="1" applyAlignment="1" applyProtection="1">
      <alignment horizontal="center" vertical="center" wrapText="1"/>
    </xf>
    <xf numFmtId="0" fontId="7" fillId="3" borderId="8" xfId="2" applyFont="1" applyFill="1" applyBorder="1" applyAlignment="1" applyProtection="1">
      <alignment horizontal="center" vertical="center" wrapText="1" shrinkToFi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</xf>
    <xf numFmtId="0" fontId="2" fillId="0" borderId="2" xfId="2" applyFont="1" applyBorder="1" applyAlignment="1" applyProtection="1">
      <alignment horizontal="left" vertical="center" wrapText="1" shrinkToFit="1"/>
    </xf>
    <xf numFmtId="0" fontId="2" fillId="0" borderId="17" xfId="2" applyFont="1" applyBorder="1" applyAlignment="1" applyProtection="1">
      <alignment horizontal="left" vertical="center" wrapText="1" shrinkToFit="1"/>
    </xf>
    <xf numFmtId="0" fontId="2" fillId="0" borderId="2" xfId="0" applyFont="1" applyBorder="1" applyAlignment="1" applyProtection="1">
      <alignment horizontal="left" vertical="center" wrapText="1"/>
    </xf>
    <xf numFmtId="0" fontId="2" fillId="0" borderId="17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center" wrapText="1"/>
    </xf>
    <xf numFmtId="0" fontId="2" fillId="0" borderId="18" xfId="0" applyFont="1" applyBorder="1" applyAlignment="1" applyProtection="1">
      <alignment horizontal="left" vertical="center" wrapText="1"/>
    </xf>
    <xf numFmtId="0" fontId="3" fillId="0" borderId="22" xfId="0" applyFont="1" applyBorder="1" applyAlignment="1" applyProtection="1">
      <alignment horizontal="center" vertical="top"/>
    </xf>
    <xf numFmtId="0" fontId="3" fillId="0" borderId="23" xfId="0" applyFont="1" applyBorder="1" applyAlignment="1" applyProtection="1">
      <alignment horizontal="center" vertical="top"/>
    </xf>
    <xf numFmtId="0" fontId="3" fillId="0" borderId="24" xfId="0" applyFont="1" applyBorder="1" applyAlignment="1" applyProtection="1">
      <alignment horizontal="center" vertical="top"/>
    </xf>
    <xf numFmtId="0" fontId="3" fillId="0" borderId="25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top"/>
    </xf>
    <xf numFmtId="0" fontId="3" fillId="0" borderId="26" xfId="0" applyFont="1" applyBorder="1" applyAlignment="1" applyProtection="1">
      <alignment horizontal="center" vertical="top"/>
    </xf>
    <xf numFmtId="0" fontId="3" fillId="0" borderId="27" xfId="0" applyFont="1" applyBorder="1" applyAlignment="1" applyProtection="1">
      <alignment horizontal="center" vertical="top"/>
    </xf>
    <xf numFmtId="0" fontId="3" fillId="0" borderId="28" xfId="0" applyFont="1" applyBorder="1" applyAlignment="1" applyProtection="1">
      <alignment horizontal="center" vertical="top"/>
    </xf>
    <xf numFmtId="0" fontId="3" fillId="0" borderId="29" xfId="0" applyFont="1" applyBorder="1" applyAlignment="1" applyProtection="1">
      <alignment horizontal="center" vertical="top"/>
    </xf>
    <xf numFmtId="0" fontId="4" fillId="0" borderId="39" xfId="0" applyFont="1" applyBorder="1" applyAlignment="1" applyProtection="1">
      <alignment horizontal="center" vertical="center" wrapText="1"/>
    </xf>
    <xf numFmtId="0" fontId="4" fillId="0" borderId="36" xfId="0" applyFont="1" applyBorder="1" applyAlignment="1" applyProtection="1">
      <alignment horizontal="center" vertical="center" wrapText="1"/>
    </xf>
    <xf numFmtId="1" fontId="4" fillId="0" borderId="41" xfId="0" applyNumberFormat="1" applyFont="1" applyBorder="1" applyAlignment="1" applyProtection="1">
      <alignment horizontal="center" vertical="center" wrapText="1"/>
    </xf>
    <xf numFmtId="1" fontId="4" fillId="0" borderId="42" xfId="0" applyNumberFormat="1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center" vertical="center" wrapText="1"/>
    </xf>
    <xf numFmtId="0" fontId="4" fillId="0" borderId="28" xfId="0" applyFont="1" applyBorder="1" applyAlignment="1" applyProtection="1">
      <alignment horizontal="center" vertical="center" wrapText="1"/>
    </xf>
  </cellXfs>
  <cellStyles count="5">
    <cellStyle name="Moeda" xfId="3" builtinId="4"/>
    <cellStyle name="Normal" xfId="0" builtinId="0"/>
    <cellStyle name="Normal 2" xfId="4" xr:uid="{CA42E290-E39F-4186-B293-853B0976D245}"/>
    <cellStyle name="Texto Explicativo" xfId="2" builtinId="53" customBuiltin="1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343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75532</xdr:colOff>
      <xdr:row>1</xdr:row>
      <xdr:rowOff>126814</xdr:rowOff>
    </xdr:from>
    <xdr:to>
      <xdr:col>6</xdr:col>
      <xdr:colOff>865353</xdr:colOff>
      <xdr:row>5</xdr:row>
      <xdr:rowOff>71571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678473" y="294902"/>
          <a:ext cx="2622784" cy="695551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LT49"/>
  <sheetViews>
    <sheetView showGridLines="0" tabSelected="1" zoomScale="85" zoomScaleNormal="85" workbookViewId="0">
      <selection activeCell="K20" sqref="K20"/>
    </sheetView>
  </sheetViews>
  <sheetFormatPr defaultColWidth="8.85546875" defaultRowHeight="12.75" x14ac:dyDescent="0.2"/>
  <cols>
    <col min="1" max="1" width="8" style="1" customWidth="1"/>
    <col min="2" max="2" width="5" style="1" bestFit="1" customWidth="1"/>
    <col min="3" max="3" width="70.85546875" style="1" bestFit="1" customWidth="1"/>
    <col min="4" max="4" width="9.140625" style="1" bestFit="1" customWidth="1"/>
    <col min="5" max="5" width="6.28515625" style="1" bestFit="1" customWidth="1"/>
    <col min="6" max="6" width="11.85546875" style="1" customWidth="1"/>
    <col min="7" max="7" width="13.85546875" style="1" customWidth="1"/>
    <col min="8" max="1008" width="8" style="1" customWidth="1"/>
  </cols>
  <sheetData>
    <row r="1" spans="1:1008" s="2" customFormat="1" ht="13.5" thickBot="1" x14ac:dyDescent="0.25">
      <c r="B1" s="16"/>
      <c r="C1" s="16"/>
      <c r="D1" s="16"/>
      <c r="E1" s="3"/>
      <c r="F1" s="16"/>
      <c r="G1" s="16"/>
    </row>
    <row r="2" spans="1:1008" s="2" customFormat="1" ht="13.5" thickBot="1" x14ac:dyDescent="0.25">
      <c r="B2" s="62" t="s">
        <v>44</v>
      </c>
      <c r="C2" s="63"/>
      <c r="D2" s="70"/>
      <c r="E2" s="71"/>
      <c r="F2" s="71"/>
      <c r="G2" s="72"/>
    </row>
    <row r="3" spans="1:1008" s="2" customFormat="1" x14ac:dyDescent="0.2">
      <c r="B3" s="62"/>
      <c r="C3" s="63"/>
      <c r="D3" s="73"/>
      <c r="E3" s="74"/>
      <c r="F3" s="74"/>
      <c r="G3" s="75"/>
    </row>
    <row r="4" spans="1:1008" s="2" customFormat="1" ht="16.5" x14ac:dyDescent="0.2">
      <c r="B4" s="64" t="s">
        <v>0</v>
      </c>
      <c r="C4" s="65"/>
      <c r="D4" s="73"/>
      <c r="E4" s="74"/>
      <c r="F4" s="74"/>
      <c r="G4" s="75"/>
    </row>
    <row r="5" spans="1:1008" s="2" customFormat="1" ht="16.5" x14ac:dyDescent="0.2">
      <c r="B5" s="66" t="s">
        <v>71</v>
      </c>
      <c r="C5" s="67"/>
      <c r="D5" s="73"/>
      <c r="E5" s="74"/>
      <c r="F5" s="74"/>
      <c r="G5" s="75"/>
    </row>
    <row r="6" spans="1:1008" s="2" customFormat="1" ht="17.25" thickBot="1" x14ac:dyDescent="0.25">
      <c r="B6" s="68" t="s">
        <v>69</v>
      </c>
      <c r="C6" s="69"/>
      <c r="D6" s="76"/>
      <c r="E6" s="77"/>
      <c r="F6" s="77"/>
      <c r="G6" s="78"/>
    </row>
    <row r="7" spans="1:1008" s="2" customFormat="1" ht="26.25" thickBot="1" x14ac:dyDescent="0.25">
      <c r="B7" s="4" t="s">
        <v>1</v>
      </c>
      <c r="C7" s="5" t="s">
        <v>2</v>
      </c>
      <c r="D7" s="39" t="s">
        <v>3</v>
      </c>
      <c r="E7" s="40" t="s">
        <v>60</v>
      </c>
      <c r="F7" s="41" t="s">
        <v>4</v>
      </c>
      <c r="G7" s="43" t="s">
        <v>43</v>
      </c>
    </row>
    <row r="8" spans="1:1008" s="2" customFormat="1" x14ac:dyDescent="0.2">
      <c r="B8" s="6"/>
      <c r="C8" s="7"/>
      <c r="D8" s="8"/>
      <c r="E8" s="9"/>
      <c r="F8" s="10"/>
      <c r="G8" s="44"/>
    </row>
    <row r="9" spans="1:1008" x14ac:dyDescent="0.2">
      <c r="B9" s="11" t="s">
        <v>5</v>
      </c>
      <c r="C9" s="12" t="s">
        <v>49</v>
      </c>
      <c r="D9" s="13"/>
      <c r="E9" s="14"/>
      <c r="F9" s="15"/>
      <c r="G9" s="31">
        <f>SUM(G10:G14)</f>
        <v>3862.87</v>
      </c>
    </row>
    <row r="10" spans="1:1008" s="16" customFormat="1" x14ac:dyDescent="0.2">
      <c r="B10" s="17" t="s">
        <v>6</v>
      </c>
      <c r="C10" s="18" t="s">
        <v>29</v>
      </c>
      <c r="D10" s="19" t="s">
        <v>7</v>
      </c>
      <c r="E10" s="20">
        <v>3</v>
      </c>
      <c r="F10" s="37">
        <v>296.73</v>
      </c>
      <c r="G10" s="32">
        <f t="shared" ref="G10:G14" si="0">E10*F10</f>
        <v>890.19</v>
      </c>
    </row>
    <row r="11" spans="1:1008" x14ac:dyDescent="0.2">
      <c r="B11" s="17" t="s">
        <v>8</v>
      </c>
      <c r="C11" s="18" t="s">
        <v>30</v>
      </c>
      <c r="D11" s="19" t="s">
        <v>7</v>
      </c>
      <c r="E11" s="20">
        <v>2</v>
      </c>
      <c r="F11" s="37">
        <v>339.31</v>
      </c>
      <c r="G11" s="32">
        <f t="shared" si="0"/>
        <v>678.62</v>
      </c>
    </row>
    <row r="12" spans="1:1008" x14ac:dyDescent="0.2">
      <c r="B12" s="17" t="s">
        <v>9</v>
      </c>
      <c r="C12" s="18" t="s">
        <v>37</v>
      </c>
      <c r="D12" s="19" t="s">
        <v>7</v>
      </c>
      <c r="E12" s="20">
        <v>9</v>
      </c>
      <c r="F12" s="37">
        <v>180</v>
      </c>
      <c r="G12" s="32">
        <f t="shared" si="0"/>
        <v>1620</v>
      </c>
    </row>
    <row r="13" spans="1:1008" x14ac:dyDescent="0.2">
      <c r="B13" s="17" t="s">
        <v>10</v>
      </c>
      <c r="C13" s="18" t="s">
        <v>31</v>
      </c>
      <c r="D13" s="19" t="s">
        <v>7</v>
      </c>
      <c r="E13" s="20">
        <v>1</v>
      </c>
      <c r="F13" s="37">
        <v>194.06</v>
      </c>
      <c r="G13" s="32">
        <f t="shared" si="0"/>
        <v>194.06</v>
      </c>
    </row>
    <row r="14" spans="1:1008" x14ac:dyDescent="0.2">
      <c r="A14" s="16"/>
      <c r="B14" s="17" t="s">
        <v>45</v>
      </c>
      <c r="C14" s="24" t="s">
        <v>46</v>
      </c>
      <c r="D14" s="19" t="s">
        <v>7</v>
      </c>
      <c r="E14" s="20">
        <v>4</v>
      </c>
      <c r="F14" s="37">
        <v>120</v>
      </c>
      <c r="G14" s="32">
        <f t="shared" si="0"/>
        <v>480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</row>
    <row r="15" spans="1:1008" s="21" customFormat="1" x14ac:dyDescent="0.2">
      <c r="B15" s="17"/>
      <c r="C15" s="22"/>
      <c r="D15" s="19"/>
      <c r="E15" s="23"/>
      <c r="F15" s="37"/>
      <c r="G15" s="33"/>
    </row>
    <row r="16" spans="1:1008" s="21" customFormat="1" x14ac:dyDescent="0.2">
      <c r="B16" s="11" t="s">
        <v>11</v>
      </c>
      <c r="C16" s="12" t="s">
        <v>39</v>
      </c>
      <c r="D16" s="13"/>
      <c r="E16" s="14"/>
      <c r="F16" s="38"/>
      <c r="G16" s="31">
        <f>SUM(G17:G17)</f>
        <v>140</v>
      </c>
    </row>
    <row r="17" spans="1:1008" s="21" customFormat="1" x14ac:dyDescent="0.2">
      <c r="B17" s="17" t="s">
        <v>12</v>
      </c>
      <c r="C17" s="18" t="s">
        <v>40</v>
      </c>
      <c r="D17" s="19" t="s">
        <v>7</v>
      </c>
      <c r="E17" s="20">
        <v>14</v>
      </c>
      <c r="F17" s="37">
        <v>10</v>
      </c>
      <c r="G17" s="32">
        <f t="shared" ref="G17" si="1">E17*F17</f>
        <v>140</v>
      </c>
    </row>
    <row r="18" spans="1:1008" s="21" customFormat="1" ht="13.5" thickBot="1" x14ac:dyDescent="0.25">
      <c r="B18" s="17"/>
      <c r="C18" s="18"/>
      <c r="D18" s="19"/>
      <c r="E18" s="20"/>
      <c r="F18" s="37"/>
      <c r="G18" s="32"/>
    </row>
    <row r="19" spans="1:1008" s="21" customFormat="1" x14ac:dyDescent="0.2">
      <c r="B19" s="57" t="s">
        <v>1</v>
      </c>
      <c r="C19" s="59" t="s">
        <v>2</v>
      </c>
      <c r="D19" s="79" t="s">
        <v>3</v>
      </c>
      <c r="E19" s="81" t="s">
        <v>60</v>
      </c>
      <c r="F19" s="83" t="s">
        <v>4</v>
      </c>
      <c r="G19" s="55" t="s">
        <v>43</v>
      </c>
    </row>
    <row r="20" spans="1:1008" ht="13.5" customHeight="1" thickBot="1" x14ac:dyDescent="0.25">
      <c r="B20" s="58"/>
      <c r="C20" s="60"/>
      <c r="D20" s="80"/>
      <c r="E20" s="82"/>
      <c r="F20" s="84"/>
      <c r="G20" s="56"/>
    </row>
    <row r="21" spans="1:1008" x14ac:dyDescent="0.2">
      <c r="B21" s="11" t="s">
        <v>13</v>
      </c>
      <c r="C21" s="12" t="s">
        <v>48</v>
      </c>
      <c r="D21" s="13"/>
      <c r="E21" s="14"/>
      <c r="F21" s="38"/>
      <c r="G21" s="31">
        <f>SUM(G22:G34)</f>
        <v>4573.12</v>
      </c>
    </row>
    <row r="22" spans="1:1008" x14ac:dyDescent="0.2">
      <c r="B22" s="51" t="s">
        <v>14</v>
      </c>
      <c r="C22" s="42" t="s">
        <v>63</v>
      </c>
      <c r="D22" s="52" t="s">
        <v>7</v>
      </c>
      <c r="E22" s="20">
        <v>42</v>
      </c>
      <c r="F22" s="54">
        <v>42.43</v>
      </c>
      <c r="G22" s="32">
        <f>E22*F22</f>
        <v>1782.06</v>
      </c>
    </row>
    <row r="23" spans="1:1008" x14ac:dyDescent="0.2">
      <c r="A23" s="16"/>
      <c r="B23" s="51" t="s">
        <v>15</v>
      </c>
      <c r="C23" s="42" t="s">
        <v>64</v>
      </c>
      <c r="D23" s="52" t="s">
        <v>7</v>
      </c>
      <c r="E23" s="20">
        <v>14</v>
      </c>
      <c r="F23" s="54">
        <v>6.32</v>
      </c>
      <c r="G23" s="32">
        <f t="shared" ref="G23:G34" si="2">E23*F23</f>
        <v>88.48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6"/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/>
      <c r="AKZ23" s="16"/>
      <c r="ALA23" s="16"/>
      <c r="ALB23" s="16"/>
      <c r="ALC23" s="16"/>
      <c r="ALD23" s="16"/>
      <c r="ALE23" s="16"/>
      <c r="ALF23" s="16"/>
      <c r="ALG23" s="16"/>
      <c r="ALH23" s="16"/>
      <c r="ALI23" s="16"/>
      <c r="ALJ23" s="16"/>
      <c r="ALK23" s="16"/>
      <c r="ALL23" s="16"/>
      <c r="ALM23" s="16"/>
      <c r="ALN23" s="16"/>
      <c r="ALO23" s="16"/>
      <c r="ALP23" s="16"/>
      <c r="ALQ23" s="16"/>
      <c r="ALR23" s="16"/>
      <c r="ALS23" s="16"/>
      <c r="ALT23" s="16"/>
    </row>
    <row r="24" spans="1:1008" x14ac:dyDescent="0.2">
      <c r="A24" s="16"/>
      <c r="B24" s="51" t="s">
        <v>16</v>
      </c>
      <c r="C24" s="42" t="s">
        <v>65</v>
      </c>
      <c r="D24" s="52" t="s">
        <v>7</v>
      </c>
      <c r="E24" s="20">
        <v>41</v>
      </c>
      <c r="F24" s="37">
        <v>13.74</v>
      </c>
      <c r="G24" s="32">
        <f t="shared" si="2"/>
        <v>563.34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/>
      <c r="ALD24" s="16"/>
      <c r="ALE24" s="16"/>
      <c r="ALF24" s="16"/>
      <c r="ALG24" s="16"/>
      <c r="ALH24" s="16"/>
      <c r="ALI24" s="16"/>
      <c r="ALJ24" s="16"/>
      <c r="ALK24" s="16"/>
      <c r="ALL24" s="16"/>
      <c r="ALM24" s="16"/>
      <c r="ALN24" s="16"/>
      <c r="ALO24" s="16"/>
      <c r="ALP24" s="16"/>
      <c r="ALQ24" s="16"/>
      <c r="ALR24" s="16"/>
      <c r="ALS24" s="16"/>
      <c r="ALT24" s="16"/>
    </row>
    <row r="25" spans="1:1008" x14ac:dyDescent="0.2">
      <c r="A25" s="16"/>
      <c r="B25" s="51" t="s">
        <v>17</v>
      </c>
      <c r="C25" s="42" t="s">
        <v>66</v>
      </c>
      <c r="D25" s="52" t="s">
        <v>7</v>
      </c>
      <c r="E25" s="20">
        <f>E22+E22*1/3</f>
        <v>56</v>
      </c>
      <c r="F25" s="54">
        <v>4.1900000000000004</v>
      </c>
      <c r="G25" s="32">
        <f t="shared" si="2"/>
        <v>234.64000000000001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6"/>
      <c r="WJ25" s="16"/>
      <c r="WK25" s="16"/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/>
      <c r="AJP25" s="16"/>
      <c r="AJQ25" s="16"/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/>
      <c r="AKZ25" s="16"/>
      <c r="ALA25" s="16"/>
      <c r="ALB25" s="16"/>
      <c r="ALC25" s="16"/>
      <c r="ALD25" s="16"/>
      <c r="ALE25" s="16"/>
      <c r="ALF25" s="16"/>
      <c r="ALG25" s="16"/>
      <c r="ALH25" s="16"/>
      <c r="ALI25" s="16"/>
      <c r="ALJ25" s="16"/>
      <c r="ALK25" s="16"/>
      <c r="ALL25" s="16"/>
      <c r="ALM25" s="16"/>
      <c r="ALN25" s="16"/>
      <c r="ALO25" s="16"/>
      <c r="ALP25" s="16"/>
      <c r="ALQ25" s="16"/>
      <c r="ALR25" s="16"/>
      <c r="ALS25" s="16"/>
      <c r="ALT25" s="16"/>
    </row>
    <row r="26" spans="1:1008" x14ac:dyDescent="0.2">
      <c r="A26" s="16"/>
      <c r="B26" s="51" t="s">
        <v>18</v>
      </c>
      <c r="C26" s="42" t="s">
        <v>72</v>
      </c>
      <c r="D26" s="52" t="s">
        <v>23</v>
      </c>
      <c r="E26" s="20">
        <v>64</v>
      </c>
      <c r="F26" s="37">
        <v>12</v>
      </c>
      <c r="G26" s="32">
        <f t="shared" si="2"/>
        <v>768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/>
      <c r="AKZ26" s="16"/>
      <c r="ALA26" s="16"/>
      <c r="ALB26" s="16"/>
      <c r="ALC26" s="16"/>
      <c r="ALD26" s="16"/>
      <c r="ALE26" s="16"/>
      <c r="ALF26" s="16"/>
      <c r="ALG26" s="16"/>
      <c r="ALH26" s="16"/>
      <c r="ALI26" s="16"/>
      <c r="ALJ26" s="16"/>
      <c r="ALK26" s="16"/>
      <c r="ALL26" s="16"/>
      <c r="ALM26" s="16"/>
      <c r="ALN26" s="16"/>
      <c r="ALO26" s="16"/>
      <c r="ALP26" s="16"/>
      <c r="ALQ26" s="16"/>
      <c r="ALR26" s="16"/>
      <c r="ALS26" s="16"/>
      <c r="ALT26" s="16"/>
    </row>
    <row r="27" spans="1:1008" x14ac:dyDescent="0.2">
      <c r="A27" s="16"/>
      <c r="B27" s="51" t="s">
        <v>50</v>
      </c>
      <c r="C27" s="42" t="s">
        <v>67</v>
      </c>
      <c r="D27" s="52" t="s">
        <v>7</v>
      </c>
      <c r="E27" s="20">
        <v>91</v>
      </c>
      <c r="F27" s="37">
        <v>0.4</v>
      </c>
      <c r="G27" s="32">
        <f t="shared" si="2"/>
        <v>36.4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</row>
    <row r="28" spans="1:1008" x14ac:dyDescent="0.2">
      <c r="A28" s="16"/>
      <c r="B28" s="51" t="s">
        <v>51</v>
      </c>
      <c r="C28" s="42" t="s">
        <v>75</v>
      </c>
      <c r="D28" s="52" t="s">
        <v>7</v>
      </c>
      <c r="E28" s="20">
        <v>110</v>
      </c>
      <c r="F28" s="37">
        <v>2.2999999999999998</v>
      </c>
      <c r="G28" s="32">
        <f t="shared" si="2"/>
        <v>252.99999999999997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/>
      <c r="ALI28" s="16"/>
      <c r="ALJ28" s="16"/>
      <c r="ALK28" s="16"/>
      <c r="ALL28" s="16"/>
      <c r="ALM28" s="16"/>
      <c r="ALN28" s="16"/>
      <c r="ALO28" s="16"/>
      <c r="ALP28" s="16"/>
      <c r="ALQ28" s="16"/>
      <c r="ALR28" s="16"/>
      <c r="ALS28" s="16"/>
      <c r="ALT28" s="16"/>
    </row>
    <row r="29" spans="1:1008" x14ac:dyDescent="0.2">
      <c r="A29" s="16"/>
      <c r="B29" s="51" t="s">
        <v>57</v>
      </c>
      <c r="C29" s="42" t="s">
        <v>74</v>
      </c>
      <c r="D29" s="52" t="s">
        <v>7</v>
      </c>
      <c r="E29" s="20">
        <v>68</v>
      </c>
      <c r="F29" s="37">
        <v>3.54</v>
      </c>
      <c r="G29" s="32">
        <f t="shared" si="2"/>
        <v>240.72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</row>
    <row r="30" spans="1:1008" x14ac:dyDescent="0.2">
      <c r="A30" s="16"/>
      <c r="B30" s="51" t="s">
        <v>52</v>
      </c>
      <c r="C30" s="42" t="s">
        <v>73</v>
      </c>
      <c r="D30" s="52" t="s">
        <v>7</v>
      </c>
      <c r="E30" s="20">
        <v>3</v>
      </c>
      <c r="F30" s="37">
        <v>17</v>
      </c>
      <c r="G30" s="32">
        <f t="shared" si="2"/>
        <v>51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6"/>
      <c r="WJ30" s="16"/>
      <c r="WK30" s="16"/>
      <c r="WL30" s="16"/>
      <c r="WM30" s="16"/>
      <c r="WN30" s="16"/>
      <c r="WO30" s="16"/>
      <c r="WP30" s="16"/>
      <c r="WQ30" s="16"/>
      <c r="WR30" s="16"/>
      <c r="WS30" s="16"/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6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/>
      <c r="AGX30" s="16"/>
      <c r="AGY30" s="16"/>
      <c r="AGZ30" s="16"/>
      <c r="AHA30" s="16"/>
      <c r="AHB30" s="16"/>
      <c r="AHC30" s="16"/>
      <c r="AHD30" s="16"/>
      <c r="AHE30" s="16"/>
      <c r="AHF30" s="16"/>
      <c r="AHG30" s="16"/>
      <c r="AHH30" s="16"/>
      <c r="AHI30" s="16"/>
      <c r="AHJ30" s="16"/>
      <c r="AHK30" s="16"/>
      <c r="AHL30" s="16"/>
      <c r="AHM30" s="16"/>
      <c r="AHN30" s="16"/>
      <c r="AHO30" s="16"/>
      <c r="AHP30" s="16"/>
      <c r="AHQ30" s="16"/>
      <c r="AHR30" s="16"/>
      <c r="AHS30" s="16"/>
      <c r="AHT30" s="16"/>
      <c r="AHU30" s="16"/>
      <c r="AHV30" s="16"/>
      <c r="AHW30" s="16"/>
      <c r="AHX30" s="16"/>
      <c r="AHY30" s="16"/>
      <c r="AHZ30" s="16"/>
      <c r="AIA30" s="16"/>
      <c r="AIB30" s="16"/>
      <c r="AIC30" s="16"/>
      <c r="AID30" s="16"/>
      <c r="AIE30" s="16"/>
      <c r="AIF30" s="16"/>
      <c r="AIG30" s="16"/>
      <c r="AIH30" s="16"/>
      <c r="AII30" s="16"/>
      <c r="AIJ30" s="16"/>
      <c r="AIK30" s="16"/>
      <c r="AIL30" s="16"/>
      <c r="AIM30" s="16"/>
      <c r="AIN30" s="16"/>
      <c r="AIO30" s="16"/>
      <c r="AIP30" s="16"/>
      <c r="AIQ30" s="16"/>
      <c r="AIR30" s="16"/>
      <c r="AIS30" s="16"/>
      <c r="AIT30" s="16"/>
      <c r="AIU30" s="16"/>
      <c r="AIV30" s="16"/>
      <c r="AIW30" s="16"/>
      <c r="AIX30" s="16"/>
      <c r="AIY30" s="16"/>
      <c r="AIZ30" s="16"/>
      <c r="AJA30" s="16"/>
      <c r="AJB30" s="16"/>
      <c r="AJC30" s="16"/>
      <c r="AJD30" s="16"/>
      <c r="AJE30" s="16"/>
      <c r="AJF30" s="16"/>
      <c r="AJG30" s="16"/>
      <c r="AJH30" s="16"/>
      <c r="AJI30" s="16"/>
      <c r="AJJ30" s="16"/>
      <c r="AJK30" s="16"/>
      <c r="AJL30" s="16"/>
      <c r="AJM30" s="16"/>
      <c r="AJN30" s="16"/>
      <c r="AJO30" s="16"/>
      <c r="AJP30" s="16"/>
      <c r="AJQ30" s="16"/>
      <c r="AJR30" s="16"/>
      <c r="AJS30" s="16"/>
      <c r="AJT30" s="16"/>
      <c r="AJU30" s="16"/>
      <c r="AJV30" s="16"/>
      <c r="AJW30" s="16"/>
      <c r="AJX30" s="16"/>
      <c r="AJY30" s="16"/>
      <c r="AJZ30" s="16"/>
      <c r="AKA30" s="16"/>
      <c r="AKB30" s="16"/>
      <c r="AKC30" s="16"/>
      <c r="AKD30" s="16"/>
      <c r="AKE30" s="16"/>
      <c r="AKF30" s="16"/>
      <c r="AKG30" s="16"/>
      <c r="AKH30" s="16"/>
      <c r="AKI30" s="16"/>
      <c r="AKJ30" s="16"/>
      <c r="AKK30" s="16"/>
      <c r="AKL30" s="16"/>
      <c r="AKM30" s="16"/>
      <c r="AKN30" s="16"/>
      <c r="AKO30" s="16"/>
      <c r="AKP30" s="16"/>
      <c r="AKQ30" s="16"/>
      <c r="AKR30" s="16"/>
      <c r="AKS30" s="16"/>
      <c r="AKT30" s="16"/>
      <c r="AKU30" s="16"/>
      <c r="AKV30" s="16"/>
      <c r="AKW30" s="16"/>
      <c r="AKX30" s="16"/>
      <c r="AKY30" s="16"/>
      <c r="AKZ30" s="16"/>
      <c r="ALA30" s="16"/>
      <c r="ALB30" s="16"/>
      <c r="ALC30" s="16"/>
      <c r="ALD30" s="16"/>
      <c r="ALE30" s="16"/>
      <c r="ALF30" s="16"/>
      <c r="ALG30" s="16"/>
      <c r="ALH30" s="16"/>
      <c r="ALI30" s="16"/>
      <c r="ALJ30" s="16"/>
      <c r="ALK30" s="16"/>
      <c r="ALL30" s="16"/>
      <c r="ALM30" s="16"/>
      <c r="ALN30" s="16"/>
      <c r="ALO30" s="16"/>
      <c r="ALP30" s="16"/>
      <c r="ALQ30" s="16"/>
      <c r="ALR30" s="16"/>
      <c r="ALS30" s="16"/>
      <c r="ALT30" s="16"/>
    </row>
    <row r="31" spans="1:1008" x14ac:dyDescent="0.2">
      <c r="A31" s="16"/>
      <c r="B31" s="51" t="s">
        <v>53</v>
      </c>
      <c r="C31" s="27" t="s">
        <v>61</v>
      </c>
      <c r="D31" s="52" t="s">
        <v>7</v>
      </c>
      <c r="E31" s="20">
        <f>E24*2+E28</f>
        <v>192</v>
      </c>
      <c r="F31" s="37">
        <v>1.2</v>
      </c>
      <c r="G31" s="32">
        <f t="shared" si="2"/>
        <v>230.39999999999998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/>
      <c r="PD31" s="16"/>
      <c r="PE31" s="16"/>
      <c r="PF31" s="16"/>
      <c r="PG31" s="16"/>
      <c r="PH31" s="16"/>
      <c r="PI31" s="16"/>
      <c r="PJ31" s="16"/>
      <c r="PK31" s="16"/>
      <c r="PL31" s="16"/>
      <c r="PM31" s="16"/>
      <c r="PN31" s="16"/>
      <c r="PO31" s="16"/>
      <c r="PP31" s="16"/>
      <c r="PQ31" s="16"/>
      <c r="PR31" s="16"/>
      <c r="PS31" s="16"/>
      <c r="PT31" s="16"/>
      <c r="PU31" s="16"/>
      <c r="PV31" s="16"/>
      <c r="PW31" s="16"/>
      <c r="PX31" s="16"/>
      <c r="PY31" s="16"/>
      <c r="PZ31" s="16"/>
      <c r="QA31" s="16"/>
      <c r="QB31" s="16"/>
      <c r="QC31" s="16"/>
      <c r="QD31" s="16"/>
      <c r="QE31" s="16"/>
      <c r="QF31" s="16"/>
      <c r="QG31" s="16"/>
      <c r="QH31" s="16"/>
      <c r="QI31" s="16"/>
      <c r="QJ31" s="16"/>
      <c r="QK31" s="16"/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6"/>
      <c r="RH31" s="16"/>
      <c r="RI31" s="16"/>
      <c r="RJ31" s="16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6"/>
      <c r="TF31" s="16"/>
      <c r="TG31" s="16"/>
      <c r="TH31" s="16"/>
      <c r="TI31" s="16"/>
      <c r="TJ31" s="16"/>
      <c r="TK31" s="16"/>
      <c r="TL31" s="16"/>
      <c r="TM31" s="16"/>
      <c r="TN31" s="16"/>
      <c r="TO31" s="16"/>
      <c r="TP31" s="16"/>
      <c r="TQ31" s="16"/>
      <c r="TR31" s="16"/>
      <c r="TS31" s="16"/>
      <c r="TT31" s="16"/>
      <c r="TU31" s="16"/>
      <c r="TV31" s="16"/>
      <c r="TW31" s="16"/>
      <c r="TX31" s="16"/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6"/>
      <c r="WJ31" s="16"/>
      <c r="WK31" s="16"/>
      <c r="WL31" s="16"/>
      <c r="WM31" s="16"/>
      <c r="WN31" s="16"/>
      <c r="WO31" s="16"/>
      <c r="WP31" s="16"/>
      <c r="WQ31" s="16"/>
      <c r="WR31" s="16"/>
      <c r="WS31" s="16"/>
      <c r="WT31" s="16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6"/>
      <c r="ABZ31" s="16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/>
      <c r="AGX31" s="16"/>
      <c r="AGY31" s="16"/>
      <c r="AGZ31" s="16"/>
      <c r="AHA31" s="16"/>
      <c r="AHB31" s="16"/>
      <c r="AHC31" s="16"/>
      <c r="AHD31" s="16"/>
      <c r="AHE31" s="16"/>
      <c r="AHF31" s="16"/>
      <c r="AHG31" s="16"/>
      <c r="AHH31" s="16"/>
      <c r="AHI31" s="16"/>
      <c r="AHJ31" s="16"/>
      <c r="AHK31" s="16"/>
      <c r="AHL31" s="16"/>
      <c r="AHM31" s="16"/>
      <c r="AHN31" s="16"/>
      <c r="AHO31" s="16"/>
      <c r="AHP31" s="16"/>
      <c r="AHQ31" s="16"/>
      <c r="AHR31" s="16"/>
      <c r="AHS31" s="16"/>
      <c r="AHT31" s="16"/>
      <c r="AHU31" s="16"/>
      <c r="AHV31" s="16"/>
      <c r="AHW31" s="16"/>
      <c r="AHX31" s="16"/>
      <c r="AHY31" s="16"/>
      <c r="AHZ31" s="16"/>
      <c r="AIA31" s="16"/>
      <c r="AIB31" s="16"/>
      <c r="AIC31" s="16"/>
      <c r="AID31" s="16"/>
      <c r="AIE31" s="16"/>
      <c r="AIF31" s="16"/>
      <c r="AIG31" s="16"/>
      <c r="AIH31" s="16"/>
      <c r="AII31" s="16"/>
      <c r="AIJ31" s="16"/>
      <c r="AIK31" s="16"/>
      <c r="AIL31" s="16"/>
      <c r="AIM31" s="16"/>
      <c r="AIN31" s="16"/>
      <c r="AIO31" s="16"/>
      <c r="AIP31" s="16"/>
      <c r="AIQ31" s="16"/>
      <c r="AIR31" s="16"/>
      <c r="AIS31" s="16"/>
      <c r="AIT31" s="16"/>
      <c r="AIU31" s="16"/>
      <c r="AIV31" s="16"/>
      <c r="AIW31" s="16"/>
      <c r="AIX31" s="16"/>
      <c r="AIY31" s="16"/>
      <c r="AIZ31" s="16"/>
      <c r="AJA31" s="16"/>
      <c r="AJB31" s="16"/>
      <c r="AJC31" s="16"/>
      <c r="AJD31" s="16"/>
      <c r="AJE31" s="16"/>
      <c r="AJF31" s="16"/>
      <c r="AJG31" s="16"/>
      <c r="AJH31" s="16"/>
      <c r="AJI31" s="16"/>
      <c r="AJJ31" s="16"/>
      <c r="AJK31" s="16"/>
      <c r="AJL31" s="16"/>
      <c r="AJM31" s="16"/>
      <c r="AJN31" s="16"/>
      <c r="AJO31" s="16"/>
      <c r="AJP31" s="16"/>
      <c r="AJQ31" s="16"/>
      <c r="AJR31" s="16"/>
      <c r="AJS31" s="16"/>
      <c r="AJT31" s="16"/>
      <c r="AJU31" s="16"/>
      <c r="AJV31" s="16"/>
      <c r="AJW31" s="16"/>
      <c r="AJX31" s="16"/>
      <c r="AJY31" s="16"/>
      <c r="AJZ31" s="16"/>
      <c r="AKA31" s="16"/>
      <c r="AKB31" s="16"/>
      <c r="AKC31" s="16"/>
      <c r="AKD31" s="16"/>
      <c r="AKE31" s="16"/>
      <c r="AKF31" s="16"/>
      <c r="AKG31" s="16"/>
      <c r="AKH31" s="16"/>
      <c r="AKI31" s="16"/>
      <c r="AKJ31" s="16"/>
      <c r="AKK31" s="16"/>
      <c r="AKL31" s="16"/>
      <c r="AKM31" s="16"/>
      <c r="AKN31" s="16"/>
      <c r="AKO31" s="16"/>
      <c r="AKP31" s="16"/>
      <c r="AKQ31" s="16"/>
      <c r="AKR31" s="16"/>
      <c r="AKS31" s="16"/>
      <c r="AKT31" s="16"/>
      <c r="AKU31" s="16"/>
      <c r="AKV31" s="16"/>
      <c r="AKW31" s="16"/>
      <c r="AKX31" s="16"/>
      <c r="AKY31" s="16"/>
      <c r="AKZ31" s="16"/>
      <c r="ALA31" s="16"/>
      <c r="ALB31" s="16"/>
      <c r="ALC31" s="16"/>
      <c r="ALD31" s="16"/>
      <c r="ALE31" s="16"/>
      <c r="ALF31" s="16"/>
      <c r="ALG31" s="16"/>
      <c r="ALH31" s="16"/>
      <c r="ALI31" s="16"/>
      <c r="ALJ31" s="16"/>
      <c r="ALK31" s="16"/>
      <c r="ALL31" s="16"/>
      <c r="ALM31" s="16"/>
      <c r="ALN31" s="16"/>
      <c r="ALO31" s="16"/>
      <c r="ALP31" s="16"/>
      <c r="ALQ31" s="16"/>
      <c r="ALR31" s="16"/>
      <c r="ALS31" s="16"/>
      <c r="ALT31" s="16"/>
    </row>
    <row r="32" spans="1:1008" x14ac:dyDescent="0.2">
      <c r="A32" s="16"/>
      <c r="B32" s="51" t="s">
        <v>58</v>
      </c>
      <c r="C32" s="53" t="s">
        <v>62</v>
      </c>
      <c r="D32" s="52" t="s">
        <v>7</v>
      </c>
      <c r="E32" s="20">
        <v>6</v>
      </c>
      <c r="F32" s="54">
        <v>10</v>
      </c>
      <c r="G32" s="32">
        <f t="shared" si="2"/>
        <v>60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6"/>
      <c r="WJ32" s="16"/>
      <c r="WK32" s="16"/>
      <c r="WL32" s="16"/>
      <c r="WM32" s="16"/>
      <c r="WN32" s="16"/>
      <c r="WO32" s="16"/>
      <c r="WP32" s="16"/>
      <c r="WQ32" s="16"/>
      <c r="WR32" s="16"/>
      <c r="WS32" s="16"/>
      <c r="WT32" s="16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6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/>
      <c r="AGX32" s="16"/>
      <c r="AGY32" s="16"/>
      <c r="AGZ32" s="16"/>
      <c r="AHA32" s="16"/>
      <c r="AHB32" s="16"/>
      <c r="AHC32" s="16"/>
      <c r="AHD32" s="16"/>
      <c r="AHE32" s="16"/>
      <c r="AHF32" s="16"/>
      <c r="AHG32" s="16"/>
      <c r="AHH32" s="16"/>
      <c r="AHI32" s="16"/>
      <c r="AHJ32" s="16"/>
      <c r="AHK32" s="16"/>
      <c r="AHL32" s="16"/>
      <c r="AHM32" s="16"/>
      <c r="AHN32" s="16"/>
      <c r="AHO32" s="16"/>
      <c r="AHP32" s="16"/>
      <c r="AHQ32" s="16"/>
      <c r="AHR32" s="16"/>
      <c r="AHS32" s="16"/>
      <c r="AHT32" s="16"/>
      <c r="AHU32" s="16"/>
      <c r="AHV32" s="16"/>
      <c r="AHW32" s="16"/>
      <c r="AHX32" s="16"/>
      <c r="AHY32" s="16"/>
      <c r="AHZ32" s="16"/>
      <c r="AIA32" s="16"/>
      <c r="AIB32" s="16"/>
      <c r="AIC32" s="16"/>
      <c r="AID32" s="16"/>
      <c r="AIE32" s="16"/>
      <c r="AIF32" s="16"/>
      <c r="AIG32" s="16"/>
      <c r="AIH32" s="16"/>
      <c r="AII32" s="16"/>
      <c r="AIJ32" s="16"/>
      <c r="AIK32" s="16"/>
      <c r="AIL32" s="16"/>
      <c r="AIM32" s="16"/>
      <c r="AIN32" s="16"/>
      <c r="AIO32" s="16"/>
      <c r="AIP32" s="16"/>
      <c r="AIQ32" s="16"/>
      <c r="AIR32" s="16"/>
      <c r="AIS32" s="16"/>
      <c r="AIT32" s="16"/>
      <c r="AIU32" s="16"/>
      <c r="AIV32" s="16"/>
      <c r="AIW32" s="16"/>
      <c r="AIX32" s="16"/>
      <c r="AIY32" s="16"/>
      <c r="AIZ32" s="16"/>
      <c r="AJA32" s="16"/>
      <c r="AJB32" s="16"/>
      <c r="AJC32" s="16"/>
      <c r="AJD32" s="16"/>
      <c r="AJE32" s="16"/>
      <c r="AJF32" s="16"/>
      <c r="AJG32" s="16"/>
      <c r="AJH32" s="16"/>
      <c r="AJI32" s="16"/>
      <c r="AJJ32" s="16"/>
      <c r="AJK32" s="16"/>
      <c r="AJL32" s="16"/>
      <c r="AJM32" s="16"/>
      <c r="AJN32" s="16"/>
      <c r="AJO32" s="16"/>
      <c r="AJP32" s="16"/>
      <c r="AJQ32" s="16"/>
      <c r="AJR32" s="16"/>
      <c r="AJS32" s="16"/>
      <c r="AJT32" s="16"/>
      <c r="AJU32" s="16"/>
      <c r="AJV32" s="16"/>
      <c r="AJW32" s="16"/>
      <c r="AJX32" s="16"/>
      <c r="AJY32" s="16"/>
      <c r="AJZ32" s="16"/>
      <c r="AKA32" s="16"/>
      <c r="AKB32" s="16"/>
      <c r="AKC32" s="16"/>
      <c r="AKD32" s="16"/>
      <c r="AKE32" s="16"/>
      <c r="AKF32" s="16"/>
      <c r="AKG32" s="16"/>
      <c r="AKH32" s="16"/>
      <c r="AKI32" s="16"/>
      <c r="AKJ32" s="16"/>
      <c r="AKK32" s="16"/>
      <c r="AKL32" s="16"/>
      <c r="AKM32" s="16"/>
      <c r="AKN32" s="16"/>
      <c r="AKO32" s="16"/>
      <c r="AKP32" s="16"/>
      <c r="AKQ32" s="16"/>
      <c r="AKR32" s="16"/>
      <c r="AKS32" s="16"/>
      <c r="AKT32" s="16"/>
      <c r="AKU32" s="16"/>
      <c r="AKV32" s="16"/>
      <c r="AKW32" s="16"/>
      <c r="AKX32" s="16"/>
      <c r="AKY32" s="16"/>
      <c r="AKZ32" s="16"/>
      <c r="ALA32" s="16"/>
      <c r="ALB32" s="16"/>
      <c r="ALC32" s="16"/>
      <c r="ALD32" s="16"/>
      <c r="ALE32" s="16"/>
      <c r="ALF32" s="16"/>
      <c r="ALG32" s="16"/>
      <c r="ALH32" s="16"/>
      <c r="ALI32" s="16"/>
      <c r="ALJ32" s="16"/>
      <c r="ALK32" s="16"/>
      <c r="ALL32" s="16"/>
      <c r="ALM32" s="16"/>
      <c r="ALN32" s="16"/>
      <c r="ALO32" s="16"/>
      <c r="ALP32" s="16"/>
      <c r="ALQ32" s="16"/>
      <c r="ALR32" s="16"/>
      <c r="ALS32" s="16"/>
      <c r="ALT32" s="16"/>
    </row>
    <row r="33" spans="1:1008" x14ac:dyDescent="0.2">
      <c r="A33" s="16"/>
      <c r="B33" s="51" t="s">
        <v>54</v>
      </c>
      <c r="C33" s="42" t="s">
        <v>70</v>
      </c>
      <c r="D33" s="52" t="s">
        <v>7</v>
      </c>
      <c r="E33" s="20">
        <f>E24-E34</f>
        <v>28</v>
      </c>
      <c r="F33" s="54">
        <v>5.4</v>
      </c>
      <c r="G33" s="32">
        <f t="shared" si="2"/>
        <v>151.20000000000002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</row>
    <row r="34" spans="1:1008" ht="13.5" thickBot="1" x14ac:dyDescent="0.25">
      <c r="B34" s="51" t="s">
        <v>55</v>
      </c>
      <c r="C34" s="42" t="s">
        <v>76</v>
      </c>
      <c r="D34" s="52" t="s">
        <v>7</v>
      </c>
      <c r="E34" s="20">
        <v>13</v>
      </c>
      <c r="F34" s="54">
        <v>8.76</v>
      </c>
      <c r="G34" s="32">
        <f t="shared" si="2"/>
        <v>113.88</v>
      </c>
    </row>
    <row r="35" spans="1:1008" x14ac:dyDescent="0.2">
      <c r="B35" s="57" t="s">
        <v>1</v>
      </c>
      <c r="C35" s="59" t="s">
        <v>2</v>
      </c>
      <c r="D35" s="79" t="s">
        <v>3</v>
      </c>
      <c r="E35" s="81" t="s">
        <v>60</v>
      </c>
      <c r="F35" s="83" t="s">
        <v>4</v>
      </c>
      <c r="G35" s="55" t="s">
        <v>43</v>
      </c>
    </row>
    <row r="36" spans="1:1008" ht="13.5" thickBot="1" x14ac:dyDescent="0.25">
      <c r="A36" s="16"/>
      <c r="B36" s="58"/>
      <c r="C36" s="60"/>
      <c r="D36" s="80"/>
      <c r="E36" s="82"/>
      <c r="F36" s="84"/>
      <c r="G36" s="5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</row>
    <row r="37" spans="1:1008" x14ac:dyDescent="0.2">
      <c r="B37" s="45" t="s">
        <v>19</v>
      </c>
      <c r="C37" s="46" t="s">
        <v>42</v>
      </c>
      <c r="D37" s="47"/>
      <c r="E37" s="48"/>
      <c r="F37" s="49"/>
      <c r="G37" s="50">
        <f>SUM(G38:G43)</f>
        <v>1964</v>
      </c>
    </row>
    <row r="38" spans="1:1008" x14ac:dyDescent="0.2">
      <c r="A38" s="16"/>
      <c r="B38" s="51" t="s">
        <v>59</v>
      </c>
      <c r="C38" s="53" t="s">
        <v>32</v>
      </c>
      <c r="D38" s="52" t="s">
        <v>7</v>
      </c>
      <c r="E38" s="20">
        <v>14</v>
      </c>
      <c r="F38" s="54">
        <v>12.65</v>
      </c>
      <c r="G38" s="32">
        <f>E38*F38</f>
        <v>177.1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</row>
    <row r="39" spans="1:1008" x14ac:dyDescent="0.2">
      <c r="B39" s="51" t="s">
        <v>20</v>
      </c>
      <c r="C39" s="53" t="s">
        <v>56</v>
      </c>
      <c r="D39" s="52" t="s">
        <v>7</v>
      </c>
      <c r="E39" s="20">
        <v>14</v>
      </c>
      <c r="F39" s="54">
        <v>12.15</v>
      </c>
      <c r="G39" s="32">
        <f t="shared" ref="G39:G43" si="3">E39*F39</f>
        <v>170.1</v>
      </c>
    </row>
    <row r="40" spans="1:1008" ht="25.5" x14ac:dyDescent="0.2">
      <c r="A40" s="16"/>
      <c r="B40" s="51" t="s">
        <v>21</v>
      </c>
      <c r="C40" s="53" t="s">
        <v>33</v>
      </c>
      <c r="D40" s="52" t="s">
        <v>23</v>
      </c>
      <c r="E40" s="20">
        <v>610</v>
      </c>
      <c r="F40" s="54">
        <v>2.38</v>
      </c>
      <c r="G40" s="32">
        <f t="shared" si="3"/>
        <v>1451.8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</row>
    <row r="41" spans="1:1008" x14ac:dyDescent="0.2">
      <c r="B41" s="51" t="s">
        <v>22</v>
      </c>
      <c r="C41" s="53" t="s">
        <v>68</v>
      </c>
      <c r="D41" s="52" t="s">
        <v>7</v>
      </c>
      <c r="E41" s="20">
        <v>1</v>
      </c>
      <c r="F41" s="54">
        <v>75</v>
      </c>
      <c r="G41" s="32">
        <f t="shared" si="3"/>
        <v>75</v>
      </c>
    </row>
    <row r="42" spans="1:1008" x14ac:dyDescent="0.2">
      <c r="B42" s="51" t="s">
        <v>34</v>
      </c>
      <c r="C42" s="53" t="s">
        <v>38</v>
      </c>
      <c r="D42" s="52" t="s">
        <v>7</v>
      </c>
      <c r="E42" s="20">
        <v>1</v>
      </c>
      <c r="F42" s="54">
        <v>50</v>
      </c>
      <c r="G42" s="32">
        <f t="shared" si="3"/>
        <v>50</v>
      </c>
    </row>
    <row r="43" spans="1:1008" ht="13.5" thickBot="1" x14ac:dyDescent="0.25">
      <c r="B43" s="51" t="s">
        <v>35</v>
      </c>
      <c r="C43" s="53" t="s">
        <v>36</v>
      </c>
      <c r="D43" s="52" t="s">
        <v>7</v>
      </c>
      <c r="E43" s="20">
        <v>2</v>
      </c>
      <c r="F43" s="54">
        <v>20</v>
      </c>
      <c r="G43" s="32">
        <f t="shared" si="3"/>
        <v>40</v>
      </c>
    </row>
    <row r="44" spans="1:1008" x14ac:dyDescent="0.2">
      <c r="A44" s="16"/>
      <c r="B44" s="30" t="s">
        <v>1</v>
      </c>
      <c r="C44" s="61" t="s">
        <v>24</v>
      </c>
      <c r="D44" s="61"/>
      <c r="E44" s="61"/>
      <c r="F44" s="61"/>
      <c r="G44" s="34" t="s">
        <v>43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6"/>
      <c r="WJ44" s="16"/>
      <c r="WK44" s="16"/>
      <c r="WL44" s="16"/>
      <c r="WM44" s="16"/>
      <c r="WN44" s="16"/>
      <c r="WO44" s="16"/>
      <c r="WP44" s="16"/>
      <c r="WQ44" s="16"/>
      <c r="WR44" s="16"/>
      <c r="WS44" s="16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6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/>
      <c r="AGX44" s="16"/>
      <c r="AGY44" s="16"/>
      <c r="AGZ44" s="16"/>
      <c r="AHA44" s="16"/>
      <c r="AHB44" s="16"/>
      <c r="AHC44" s="16"/>
      <c r="AHD44" s="16"/>
      <c r="AHE44" s="16"/>
      <c r="AHF44" s="16"/>
      <c r="AHG44" s="16"/>
      <c r="AHH44" s="16"/>
      <c r="AHI44" s="16"/>
      <c r="AHJ44" s="16"/>
      <c r="AHK44" s="16"/>
      <c r="AHL44" s="16"/>
      <c r="AHM44" s="16"/>
      <c r="AHN44" s="16"/>
      <c r="AHO44" s="16"/>
      <c r="AHP44" s="16"/>
      <c r="AHQ44" s="16"/>
      <c r="AHR44" s="16"/>
      <c r="AHS44" s="16"/>
      <c r="AHT44" s="16"/>
      <c r="AHU44" s="16"/>
      <c r="AHV44" s="16"/>
      <c r="AHW44" s="16"/>
      <c r="AHX44" s="16"/>
      <c r="AHY44" s="16"/>
      <c r="AHZ44" s="16"/>
      <c r="AIA44" s="16"/>
      <c r="AIB44" s="16"/>
      <c r="AIC44" s="16"/>
      <c r="AID44" s="16"/>
      <c r="AIE44" s="16"/>
      <c r="AIF44" s="16"/>
      <c r="AIG44" s="16"/>
      <c r="AIH44" s="16"/>
      <c r="AII44" s="16"/>
      <c r="AIJ44" s="16"/>
      <c r="AIK44" s="16"/>
      <c r="AIL44" s="16"/>
      <c r="AIM44" s="16"/>
      <c r="AIN44" s="16"/>
      <c r="AIO44" s="16"/>
      <c r="AIP44" s="16"/>
      <c r="AIQ44" s="16"/>
      <c r="AIR44" s="16"/>
      <c r="AIS44" s="16"/>
      <c r="AIT44" s="16"/>
      <c r="AIU44" s="16"/>
      <c r="AIV44" s="16"/>
      <c r="AIW44" s="16"/>
      <c r="AIX44" s="16"/>
      <c r="AIY44" s="16"/>
      <c r="AIZ44" s="16"/>
      <c r="AJA44" s="16"/>
      <c r="AJB44" s="16"/>
      <c r="AJC44" s="16"/>
      <c r="AJD44" s="16"/>
      <c r="AJE44" s="16"/>
      <c r="AJF44" s="16"/>
      <c r="AJG44" s="16"/>
      <c r="AJH44" s="16"/>
      <c r="AJI44" s="16"/>
      <c r="AJJ44" s="16"/>
      <c r="AJK44" s="16"/>
      <c r="AJL44" s="16"/>
      <c r="AJM44" s="16"/>
      <c r="AJN44" s="16"/>
      <c r="AJO44" s="16"/>
      <c r="AJP44" s="16"/>
      <c r="AJQ44" s="16"/>
      <c r="AJR44" s="16"/>
      <c r="AJS44" s="16"/>
      <c r="AJT44" s="16"/>
      <c r="AJU44" s="16"/>
      <c r="AJV44" s="16"/>
      <c r="AJW44" s="16"/>
      <c r="AJX44" s="16"/>
      <c r="AJY44" s="16"/>
      <c r="AJZ44" s="16"/>
      <c r="AKA44" s="16"/>
      <c r="AKB44" s="16"/>
      <c r="AKC44" s="16"/>
      <c r="AKD44" s="16"/>
      <c r="AKE44" s="16"/>
      <c r="AKF44" s="16"/>
      <c r="AKG44" s="16"/>
      <c r="AKH44" s="16"/>
      <c r="AKI44" s="16"/>
      <c r="AKJ44" s="16"/>
      <c r="AKK44" s="16"/>
      <c r="AKL44" s="16"/>
      <c r="AKM44" s="16"/>
      <c r="AKN44" s="16"/>
      <c r="AKO44" s="16"/>
      <c r="AKP44" s="16"/>
      <c r="AKQ44" s="16"/>
      <c r="AKR44" s="16"/>
      <c r="AKS44" s="16"/>
      <c r="AKT44" s="16"/>
      <c r="AKU44" s="16"/>
      <c r="AKV44" s="16"/>
      <c r="AKW44" s="16"/>
      <c r="AKX44" s="16"/>
      <c r="AKY44" s="16"/>
      <c r="AKZ44" s="16"/>
      <c r="ALA44" s="16"/>
      <c r="ALB44" s="16"/>
      <c r="ALC44" s="16"/>
      <c r="ALD44" s="16"/>
      <c r="ALE44" s="16"/>
      <c r="ALF44" s="16"/>
      <c r="ALG44" s="16"/>
      <c r="ALH44" s="16"/>
      <c r="ALI44" s="16"/>
      <c r="ALJ44" s="16"/>
      <c r="ALK44" s="16"/>
      <c r="ALL44" s="16"/>
      <c r="ALM44" s="16"/>
      <c r="ALN44" s="16"/>
      <c r="ALO44" s="16"/>
      <c r="ALP44" s="16"/>
      <c r="ALQ44" s="16"/>
      <c r="ALR44" s="16"/>
      <c r="ALS44" s="16"/>
      <c r="ALT44" s="16"/>
    </row>
    <row r="45" spans="1:1008" x14ac:dyDescent="0.2">
      <c r="A45" s="16"/>
      <c r="B45" s="25" t="s">
        <v>25</v>
      </c>
      <c r="C45" s="26" t="str">
        <f>C9</f>
        <v>Instalações de Infra Fisica + Rede Lógica para LAN (MÃO-DE-OBRA)</v>
      </c>
      <c r="D45" s="26"/>
      <c r="E45" s="26"/>
      <c r="F45" s="26"/>
      <c r="G45" s="35">
        <f>G9</f>
        <v>3862.87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</row>
    <row r="46" spans="1:1008" x14ac:dyDescent="0.2">
      <c r="A46" s="16"/>
      <c r="B46" s="25" t="s">
        <v>26</v>
      </c>
      <c r="C46" s="26" t="str">
        <f>C17</f>
        <v>Certificação de ponto de lógica (MÃO-DE-OBRA)</v>
      </c>
      <c r="D46" s="26"/>
      <c r="E46" s="26"/>
      <c r="F46" s="26"/>
      <c r="G46" s="35">
        <f>G16</f>
        <v>140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6"/>
      <c r="WJ46" s="16"/>
      <c r="WK46" s="16"/>
      <c r="WL46" s="16"/>
      <c r="WM46" s="16"/>
      <c r="WN46" s="16"/>
      <c r="WO46" s="16"/>
      <c r="WP46" s="16"/>
      <c r="WQ46" s="16"/>
      <c r="WR46" s="16"/>
      <c r="WS46" s="16"/>
      <c r="WT46" s="16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6"/>
      <c r="ABZ46" s="16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/>
      <c r="AGX46" s="16"/>
      <c r="AGY46" s="16"/>
      <c r="AGZ46" s="16"/>
      <c r="AHA46" s="16"/>
      <c r="AHB46" s="16"/>
      <c r="AHC46" s="16"/>
      <c r="AHD46" s="16"/>
      <c r="AHE46" s="16"/>
      <c r="AHF46" s="16"/>
      <c r="AHG46" s="16"/>
      <c r="AHH46" s="16"/>
      <c r="AHI46" s="16"/>
      <c r="AHJ46" s="16"/>
      <c r="AHK46" s="16"/>
      <c r="AHL46" s="16"/>
      <c r="AHM46" s="16"/>
      <c r="AHN46" s="16"/>
      <c r="AHO46" s="16"/>
      <c r="AHP46" s="16"/>
      <c r="AHQ46" s="16"/>
      <c r="AHR46" s="16"/>
      <c r="AHS46" s="16"/>
      <c r="AHT46" s="16"/>
      <c r="AHU46" s="16"/>
      <c r="AHV46" s="16"/>
      <c r="AHW46" s="16"/>
      <c r="AHX46" s="16"/>
      <c r="AHY46" s="16"/>
      <c r="AHZ46" s="16"/>
      <c r="AIA46" s="16"/>
      <c r="AIB46" s="16"/>
      <c r="AIC46" s="16"/>
      <c r="AID46" s="16"/>
      <c r="AIE46" s="16"/>
      <c r="AIF46" s="16"/>
      <c r="AIG46" s="16"/>
      <c r="AIH46" s="16"/>
      <c r="AII46" s="16"/>
      <c r="AIJ46" s="16"/>
      <c r="AIK46" s="16"/>
      <c r="AIL46" s="16"/>
      <c r="AIM46" s="16"/>
      <c r="AIN46" s="16"/>
      <c r="AIO46" s="16"/>
      <c r="AIP46" s="16"/>
      <c r="AIQ46" s="16"/>
      <c r="AIR46" s="16"/>
      <c r="AIS46" s="16"/>
      <c r="AIT46" s="16"/>
      <c r="AIU46" s="16"/>
      <c r="AIV46" s="16"/>
      <c r="AIW46" s="16"/>
      <c r="AIX46" s="16"/>
      <c r="AIY46" s="16"/>
      <c r="AIZ46" s="16"/>
      <c r="AJA46" s="16"/>
      <c r="AJB46" s="16"/>
      <c r="AJC46" s="16"/>
      <c r="AJD46" s="16"/>
      <c r="AJE46" s="16"/>
      <c r="AJF46" s="16"/>
      <c r="AJG46" s="16"/>
      <c r="AJH46" s="16"/>
      <c r="AJI46" s="16"/>
      <c r="AJJ46" s="16"/>
      <c r="AJK46" s="16"/>
      <c r="AJL46" s="16"/>
      <c r="AJM46" s="16"/>
      <c r="AJN46" s="16"/>
      <c r="AJO46" s="16"/>
      <c r="AJP46" s="16"/>
      <c r="AJQ46" s="16"/>
      <c r="AJR46" s="16"/>
      <c r="AJS46" s="16"/>
      <c r="AJT46" s="16"/>
      <c r="AJU46" s="16"/>
      <c r="AJV46" s="16"/>
      <c r="AJW46" s="16"/>
      <c r="AJX46" s="16"/>
      <c r="AJY46" s="16"/>
      <c r="AJZ46" s="16"/>
      <c r="AKA46" s="16"/>
      <c r="AKB46" s="16"/>
      <c r="AKC46" s="16"/>
      <c r="AKD46" s="16"/>
      <c r="AKE46" s="16"/>
      <c r="AKF46" s="16"/>
      <c r="AKG46" s="16"/>
      <c r="AKH46" s="16"/>
      <c r="AKI46" s="16"/>
      <c r="AKJ46" s="16"/>
      <c r="AKK46" s="16"/>
      <c r="AKL46" s="16"/>
      <c r="AKM46" s="16"/>
      <c r="AKN46" s="16"/>
      <c r="AKO46" s="16"/>
      <c r="AKP46" s="16"/>
      <c r="AKQ46" s="16"/>
      <c r="AKR46" s="16"/>
      <c r="AKS46" s="16"/>
      <c r="AKT46" s="16"/>
      <c r="AKU46" s="16"/>
      <c r="AKV46" s="16"/>
      <c r="AKW46" s="16"/>
      <c r="AKX46" s="16"/>
      <c r="AKY46" s="16"/>
      <c r="AKZ46" s="16"/>
      <c r="ALA46" s="16"/>
      <c r="ALB46" s="16"/>
      <c r="ALC46" s="16"/>
      <c r="ALD46" s="16"/>
      <c r="ALE46" s="16"/>
      <c r="ALF46" s="16"/>
      <c r="ALG46" s="16"/>
      <c r="ALH46" s="16"/>
      <c r="ALI46" s="16"/>
      <c r="ALJ46" s="16"/>
      <c r="ALK46" s="16"/>
      <c r="ALL46" s="16"/>
      <c r="ALM46" s="16"/>
      <c r="ALN46" s="16"/>
      <c r="ALO46" s="16"/>
      <c r="ALP46" s="16"/>
      <c r="ALQ46" s="16"/>
      <c r="ALR46" s="16"/>
      <c r="ALS46" s="16"/>
      <c r="ALT46" s="16"/>
    </row>
    <row r="47" spans="1:1008" x14ac:dyDescent="0.2">
      <c r="A47" s="16"/>
      <c r="B47" s="25" t="s">
        <v>27</v>
      </c>
      <c r="C47" s="26" t="str">
        <f>C21</f>
        <v>Orçamento da Infra Seca</v>
      </c>
      <c r="D47" s="26"/>
      <c r="E47" s="26"/>
      <c r="F47" s="26"/>
      <c r="G47" s="35">
        <f>G21</f>
        <v>4573.12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</row>
    <row r="48" spans="1:1008" x14ac:dyDescent="0.2">
      <c r="B48" s="25" t="s">
        <v>41</v>
      </c>
      <c r="C48" s="26" t="str">
        <f>C37</f>
        <v xml:space="preserve">Orçamento de Material para LAN - Cat 5E </v>
      </c>
      <c r="D48" s="26"/>
      <c r="E48" s="26"/>
      <c r="F48" s="26"/>
      <c r="G48" s="35">
        <f>G37</f>
        <v>1964</v>
      </c>
    </row>
    <row r="49" spans="2:7" x14ac:dyDescent="0.2">
      <c r="B49" s="28" t="s">
        <v>28</v>
      </c>
      <c r="C49" s="29" t="s">
        <v>47</v>
      </c>
      <c r="D49" s="29"/>
      <c r="E49" s="29"/>
      <c r="F49" s="29"/>
      <c r="G49" s="36">
        <f>SUM(G45:G48)</f>
        <v>10539.99</v>
      </c>
    </row>
  </sheetData>
  <mergeCells count="18">
    <mergeCell ref="E35:E36"/>
    <mergeCell ref="F35:F36"/>
    <mergeCell ref="G35:G36"/>
    <mergeCell ref="B19:B20"/>
    <mergeCell ref="C19:C20"/>
    <mergeCell ref="C44:F44"/>
    <mergeCell ref="B2:C3"/>
    <mergeCell ref="B4:C4"/>
    <mergeCell ref="B5:C5"/>
    <mergeCell ref="B6:C6"/>
    <mergeCell ref="D2:G6"/>
    <mergeCell ref="D19:D20"/>
    <mergeCell ref="E19:E20"/>
    <mergeCell ref="F19:F20"/>
    <mergeCell ref="G19:G20"/>
    <mergeCell ref="B35:B36"/>
    <mergeCell ref="C35:C36"/>
    <mergeCell ref="D35:D36"/>
  </mergeCells>
  <phoneticPr fontId="8" type="noConversion"/>
  <printOptions horizontalCentered="1"/>
  <pageMargins left="0.51180555555555496" right="0.51180555555555496" top="0.78749999999999998" bottom="0.59027777777777801" header="0.51180555555555496" footer="0.51180555555555496"/>
  <pageSetup paperSize="9" scale="60" firstPageNumber="0" fitToHeight="0" orientation="landscape" horizontalDpi="300" verticalDpi="300" r:id="rId1"/>
  <ignoredErrors>
    <ignoredError sqref="G10:G15 G1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Penha 2</vt:lpstr>
      <vt:lpstr>'Penha 2'!Titulos_de_impressao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De Castro Barreira</dc:creator>
  <cp:keywords/>
  <dc:description/>
  <cp:lastModifiedBy>George De Castro Barreira</cp:lastModifiedBy>
  <cp:revision>1</cp:revision>
  <cp:lastPrinted>2021-01-28T16:53:16Z</cp:lastPrinted>
  <dcterms:created xsi:type="dcterms:W3CDTF">2020-03-27T12:26:58Z</dcterms:created>
  <dcterms:modified xsi:type="dcterms:W3CDTF">2021-03-03T14:32:35Z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