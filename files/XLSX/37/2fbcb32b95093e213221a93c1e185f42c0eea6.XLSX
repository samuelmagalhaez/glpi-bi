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f1e2ab221cd909/Documentos/Nereidas/Projetos Nereidas/Casa ^0 Vídeo CD/"/>
    </mc:Choice>
  </mc:AlternateContent>
  <xr:revisionPtr revIDLastSave="9" documentId="8_{BBE56F67-7252-4C83-9023-1C26EA1B0871}" xr6:coauthVersionLast="46" xr6:coauthVersionMax="46" xr10:uidLastSave="{4A311F4B-435C-4494-A0D8-6FECDA12362A}"/>
  <bookViews>
    <workbookView xWindow="20370" yWindow="-120" windowWidth="20730" windowHeight="11160" xr2:uid="{3AF1BCBF-0929-42D0-B079-FD94A31D479D}"/>
  </bookViews>
  <sheets>
    <sheet name="Casa &amp; Video CD" sheetId="1" r:id="rId1"/>
  </sheets>
  <definedNames>
    <definedName name="_xlnm.Print_Titles" localSheetId="0">'Casa &amp; Video CD'!$1:$8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G26" i="1"/>
  <c r="G11" i="1" l="1"/>
  <c r="G25" i="1"/>
  <c r="G30" i="1" l="1"/>
  <c r="G24" i="1" l="1"/>
  <c r="G10" i="1"/>
  <c r="G12" i="1"/>
  <c r="G13" i="1"/>
  <c r="G14" i="1"/>
  <c r="G17" i="1"/>
  <c r="G16" i="1" s="1"/>
  <c r="G9" i="1" l="1"/>
  <c r="G33" i="1" s="1"/>
  <c r="G22" i="1"/>
  <c r="G23" i="1"/>
  <c r="G28" i="1"/>
  <c r="G29" i="1"/>
  <c r="G31" i="1"/>
  <c r="C33" i="1"/>
  <c r="C34" i="1"/>
  <c r="G34" i="1"/>
  <c r="C35" i="1"/>
  <c r="G21" i="1" l="1"/>
  <c r="G35" i="1" l="1"/>
  <c r="G36" i="1" s="1"/>
</calcChain>
</file>

<file path=xl/sharedStrings.xml><?xml version="1.0" encoding="utf-8"?>
<sst xmlns="http://schemas.openxmlformats.org/spreadsheetml/2006/main" count="79" uniqueCount="57">
  <si>
    <t>Soma Total</t>
  </si>
  <si>
    <t>Total</t>
  </si>
  <si>
    <t>2.</t>
  </si>
  <si>
    <t>1.</t>
  </si>
  <si>
    <t>Custo Total</t>
  </si>
  <si>
    <t>Valor Total Opção de Execução</t>
  </si>
  <si>
    <t>Item</t>
  </si>
  <si>
    <t>un</t>
  </si>
  <si>
    <t>4.8</t>
  </si>
  <si>
    <t>4.7</t>
  </si>
  <si>
    <t>Fornecimento de Pilha p/ Etiquetadora</t>
  </si>
  <si>
    <t>4.6</t>
  </si>
  <si>
    <t>Fornecimento de Velcro Rolo 25Metros</t>
  </si>
  <si>
    <t>4.5</t>
  </si>
  <si>
    <t>Fornecimento de Fita para Etiquetadora PT-70 Brother</t>
  </si>
  <si>
    <t>4.4</t>
  </si>
  <si>
    <t>m</t>
  </si>
  <si>
    <t>Fornecimento de CABO TRANSMISSÃO DE DADOS Multilan U/UTP CAT.5E</t>
  </si>
  <si>
    <t>4.3</t>
  </si>
  <si>
    <t>Fornecimento de CONECTOR FEMEA SOHOPLUS CAT.5E T568A/B</t>
  </si>
  <si>
    <t>4.1</t>
  </si>
  <si>
    <t xml:space="preserve">Orçamento de Material para LAN - Cat 5E </t>
  </si>
  <si>
    <t>4.0</t>
  </si>
  <si>
    <t>Preço Unitário</t>
  </si>
  <si>
    <t>Qtde.</t>
  </si>
  <si>
    <t>Unidade</t>
  </si>
  <si>
    <t>D i s c r i m i n a ç ã o</t>
  </si>
  <si>
    <t>Certificação de ponto de lógica (MÃO-DE-OBRA)</t>
  </si>
  <si>
    <t>2.1</t>
  </si>
  <si>
    <t>Orçamento da Certificação da Infraestrutura</t>
  </si>
  <si>
    <t>2.0</t>
  </si>
  <si>
    <t>Insulmos</t>
  </si>
  <si>
    <t>Gestão</t>
  </si>
  <si>
    <t>1.5</t>
  </si>
  <si>
    <t>Serviço/Dia - Supervisão Nereidas</t>
  </si>
  <si>
    <t>1.3</t>
  </si>
  <si>
    <t>Serviço/Dia - Técnico Nereidas Cabeamento – Site Rio</t>
  </si>
  <si>
    <t>1.1</t>
  </si>
  <si>
    <t>Instalações de Infra Fisica + Rede Lógica para LAN (MÃO-DE-OBRA)</t>
  </si>
  <si>
    <t>1.0</t>
  </si>
  <si>
    <t>OPERAÇÕES DE TI</t>
  </si>
  <si>
    <t>MATERIAL/OPERACIONAL</t>
  </si>
  <si>
    <t>4.2</t>
  </si>
  <si>
    <t>1.2</t>
  </si>
  <si>
    <t>Fornecimento de Fita Isolante</t>
  </si>
  <si>
    <t>Fornecimento de Porça Gaiola 50u</t>
  </si>
  <si>
    <t>PROJETO: Casa &amp; Video CD</t>
  </si>
  <si>
    <t>CLIENTE: Casa &amp; Video</t>
  </si>
  <si>
    <t>Endereço: Estrada do Camboatá s/n - Queimados - RJ, 26379-160</t>
  </si>
  <si>
    <t>Diária ajudante Cabeamento – Site Rio</t>
  </si>
  <si>
    <t>Fornecimento de Patch Cord CAT5E 1,5m</t>
  </si>
  <si>
    <t>Fornecimento de Patch Cord CAT5E 2,5m</t>
  </si>
  <si>
    <t>4.9</t>
  </si>
  <si>
    <t>4.10</t>
  </si>
  <si>
    <t>Fornecimento de Patch Pannel Cat5 e Furukawa</t>
  </si>
  <si>
    <t>3.</t>
  </si>
  <si>
    <t>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</si>
</sst>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* #,##0.00_);_(* \(#,##0.00\);_(* \-??_);_(@_)"/>
  </numFmts>
  <fonts count="10" x14ac:knownFonts="1">
    <font>
      <sz val="10"/>
      <name val="Arial"/>
      <charset val="1"/>
    </font>
    <font>
      <sz val="10"/>
      <name val="Arial"/>
      <family val="2"/>
      <charset val="1"/>
    </font>
    <font>
      <sz val="10"/>
      <name val="Arial"/>
      <family val="2"/>
    </font>
    <font>
      <sz val="10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Arial"/>
      <family val="2"/>
      <charset val="1"/>
    </font>
    <font>
      <b/>
      <sz val="13"/>
      <name val="Arial"/>
      <family val="2"/>
      <charset val="1"/>
    </font>
    <font>
      <sz val="11"/>
      <color rgb="FF202124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333333"/>
        <bgColor rgb="FF2E3436"/>
      </patternFill>
    </fill>
    <fill>
      <patternFill patternType="solid">
        <fgColor rgb="FFC0C0C0"/>
        <bgColor rgb="FFCCCCFF"/>
      </patternFill>
    </fill>
  </fills>
  <borders count="41">
    <border>
      <left/>
      <right/>
      <top/>
      <bottom/>
      <diagonal/>
    </border>
    <border>
      <left style="thin">
        <color rgb="FF2E3436"/>
      </left>
      <right style="medium">
        <color rgb="FF2E3436"/>
      </right>
      <top style="thin">
        <color rgb="FF2E3436"/>
      </top>
      <bottom style="thin">
        <color rgb="FF2E3436"/>
      </bottom>
      <diagonal/>
    </border>
    <border>
      <left style="thin">
        <color rgb="FF2E3436"/>
      </left>
      <right style="thin">
        <color rgb="FF2E3436"/>
      </right>
      <top style="thin">
        <color rgb="FF2E3436"/>
      </top>
      <bottom style="thin">
        <color rgb="FF2E3436"/>
      </bottom>
      <diagonal/>
    </border>
    <border>
      <left style="medium">
        <color rgb="FF2E3436"/>
      </left>
      <right style="thin">
        <color rgb="FF2E3436"/>
      </right>
      <top style="thin">
        <color rgb="FF2E3436"/>
      </top>
      <bottom style="thin">
        <color rgb="FF2E3436"/>
      </bottom>
      <diagonal/>
    </border>
    <border>
      <left style="thin">
        <color rgb="FF2E3436"/>
      </left>
      <right style="medium">
        <color rgb="FF2E3436"/>
      </right>
      <top style="medium">
        <color rgb="FF2E3436"/>
      </top>
      <bottom/>
      <diagonal/>
    </border>
    <border>
      <left style="thin">
        <color rgb="FF2E3436"/>
      </left>
      <right style="thin">
        <color rgb="FF2E3436"/>
      </right>
      <top style="medium">
        <color rgb="FF2E3436"/>
      </top>
      <bottom/>
      <diagonal/>
    </border>
    <border>
      <left style="thin">
        <color rgb="FF2E3436"/>
      </left>
      <right style="thin">
        <color rgb="FF2E3436"/>
      </right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2E3436"/>
      </left>
      <right style="medium">
        <color rgb="FF2E3436"/>
      </right>
      <top/>
      <bottom style="thin">
        <color rgb="FF2E3436"/>
      </bottom>
      <diagonal/>
    </border>
    <border>
      <left style="thin">
        <color rgb="FF2E3436"/>
      </left>
      <right style="thin">
        <color rgb="FF2E3436"/>
      </right>
      <top/>
      <bottom style="thin">
        <color rgb="FF2E3436"/>
      </bottom>
      <diagonal/>
    </border>
    <border>
      <left style="medium">
        <color rgb="FF2E3436"/>
      </left>
      <right style="thin">
        <color rgb="FF2E3436"/>
      </right>
      <top/>
      <bottom style="thin">
        <color rgb="FF2E3436"/>
      </bottom>
      <diagonal/>
    </border>
    <border>
      <left style="thin">
        <color rgb="FF2E3436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2E3436"/>
      </left>
      <right style="thin">
        <color indexed="64"/>
      </right>
      <top/>
      <bottom style="medium">
        <color indexed="64"/>
      </bottom>
      <diagonal/>
    </border>
    <border>
      <left style="thin">
        <color rgb="FF2E3436"/>
      </left>
      <right style="thin">
        <color rgb="FF2E3436"/>
      </right>
      <top/>
      <bottom style="medium">
        <color indexed="64"/>
      </bottom>
      <diagonal/>
    </border>
    <border>
      <left/>
      <right style="thin">
        <color rgb="FF2E3436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2E3436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2E3436"/>
      </left>
      <right style="thin">
        <color indexed="64"/>
      </right>
      <top style="medium">
        <color indexed="64"/>
      </top>
      <bottom/>
      <diagonal/>
    </border>
    <border>
      <left style="thin">
        <color rgb="FF2E3436"/>
      </left>
      <right style="thin">
        <color rgb="FF2E3436"/>
      </right>
      <top style="medium">
        <color indexed="64"/>
      </top>
      <bottom/>
      <diagonal/>
    </border>
    <border>
      <left/>
      <right style="thin">
        <color rgb="FF2E3436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2E3436"/>
      </left>
      <right/>
      <top/>
      <bottom style="medium">
        <color rgb="FF2E3436"/>
      </bottom>
      <diagonal/>
    </border>
    <border>
      <left style="thin">
        <color rgb="FF2E3436"/>
      </left>
      <right style="thin">
        <color rgb="FF2E3436"/>
      </right>
      <top/>
      <bottom style="medium">
        <color rgb="FF2E3436"/>
      </bottom>
      <diagonal/>
    </border>
    <border>
      <left style="thin">
        <color rgb="FF2E3436"/>
      </left>
      <right/>
      <top style="medium">
        <color rgb="FF2E3436"/>
      </top>
      <bottom style="medium">
        <color rgb="FF2E3436"/>
      </bottom>
      <diagonal/>
    </border>
    <border>
      <left style="medium">
        <color rgb="FF2E3436"/>
      </left>
      <right style="thin">
        <color rgb="FF2E3436"/>
      </right>
      <top style="medium">
        <color rgb="FF2E3436"/>
      </top>
      <bottom style="medium">
        <color rgb="FF2E3436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2E3436"/>
      </left>
      <right/>
      <top/>
      <bottom/>
      <diagonal/>
    </border>
    <border>
      <left style="medium">
        <color rgb="FF2E3436"/>
      </left>
      <right style="medium">
        <color rgb="FF2E3436"/>
      </right>
      <top/>
      <bottom/>
      <diagonal/>
    </border>
    <border>
      <left style="medium">
        <color rgb="FF2E3436"/>
      </left>
      <right/>
      <top style="medium">
        <color rgb="FF2E3436"/>
      </top>
      <bottom/>
      <diagonal/>
    </border>
    <border>
      <left style="medium">
        <color rgb="FF2E3436"/>
      </left>
      <right style="medium">
        <color rgb="FF2E3436"/>
      </right>
      <top style="medium">
        <color rgb="FF2E3436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2E3436"/>
      </left>
      <right style="medium">
        <color rgb="FF2E3436"/>
      </right>
      <top/>
      <bottom style="medium">
        <color indexed="64"/>
      </bottom>
      <diagonal/>
    </border>
    <border>
      <left style="medium">
        <color rgb="FF2E3436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2" fillId="0" borderId="0" applyBorder="0" applyProtection="0"/>
    <xf numFmtId="44" fontId="2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0" fontId="1" fillId="0" borderId="0" xfId="3" applyAlignment="1">
      <alignment vertical="center"/>
    </xf>
    <xf numFmtId="44" fontId="3" fillId="2" borderId="1" xfId="2" applyFont="1" applyFill="1" applyBorder="1" applyAlignment="1" applyProtection="1">
      <alignment horizontal="center" vertical="center"/>
      <protection locked="0"/>
    </xf>
    <xf numFmtId="0" fontId="3" fillId="2" borderId="2" xfId="3" applyFont="1" applyFill="1" applyBorder="1" applyAlignment="1">
      <alignment horizontal="left" vertical="center"/>
    </xf>
    <xf numFmtId="0" fontId="3" fillId="2" borderId="3" xfId="3" applyFont="1" applyFill="1" applyBorder="1" applyAlignment="1">
      <alignment horizontal="center" vertical="center"/>
    </xf>
    <xf numFmtId="44" fontId="1" fillId="3" borderId="1" xfId="2" applyFont="1" applyFill="1" applyBorder="1" applyAlignment="1" applyProtection="1">
      <alignment horizontal="center" vertical="center"/>
      <protection locked="0"/>
    </xf>
    <xf numFmtId="0" fontId="1" fillId="3" borderId="2" xfId="3" applyFill="1" applyBorder="1" applyAlignment="1">
      <alignment horizontal="left" vertical="center"/>
    </xf>
    <xf numFmtId="0" fontId="1" fillId="3" borderId="3" xfId="3" applyFill="1" applyBorder="1" applyAlignment="1">
      <alignment horizontal="center" vertical="center"/>
    </xf>
    <xf numFmtId="44" fontId="4" fillId="4" borderId="4" xfId="2" applyFont="1" applyFill="1" applyBorder="1" applyAlignment="1" applyProtection="1">
      <alignment horizontal="center" vertical="center" wrapText="1"/>
    </xf>
    <xf numFmtId="0" fontId="4" fillId="4" borderId="6" xfId="3" applyFont="1" applyFill="1" applyBorder="1" applyAlignment="1">
      <alignment horizontal="center" vertical="center" wrapText="1" shrinkToFit="1"/>
    </xf>
    <xf numFmtId="44" fontId="1" fillId="0" borderId="1" xfId="2" applyFont="1" applyBorder="1" applyAlignment="1" applyProtection="1">
      <alignment horizontal="center" vertical="center"/>
      <protection locked="0"/>
    </xf>
    <xf numFmtId="44" fontId="2" fillId="0" borderId="7" xfId="2" applyFont="1" applyBorder="1" applyAlignment="1" applyProtection="1">
      <alignment horizontal="center" vertical="center"/>
      <protection locked="0"/>
    </xf>
    <xf numFmtId="1" fontId="1" fillId="0" borderId="2" xfId="1" applyNumberFormat="1" applyFont="1" applyBorder="1" applyAlignment="1" applyProtection="1">
      <alignment horizontal="center" vertical="center"/>
      <protection locked="0"/>
    </xf>
    <xf numFmtId="0" fontId="1" fillId="0" borderId="2" xfId="3" applyBorder="1" applyAlignment="1" applyProtection="1">
      <alignment horizontal="center" vertical="center" wrapText="1" shrinkToFit="1"/>
      <protection locked="0"/>
    </xf>
    <xf numFmtId="0" fontId="1" fillId="0" borderId="8" xfId="3" applyBorder="1" applyAlignment="1">
      <alignment horizontal="left" vertical="center" wrapText="1" shrinkToFit="1"/>
    </xf>
    <xf numFmtId="0" fontId="1" fillId="0" borderId="3" xfId="3" applyBorder="1" applyAlignment="1">
      <alignment horizontal="center" vertical="center" wrapText="1" shrinkToFit="1"/>
    </xf>
    <xf numFmtId="44" fontId="5" fillId="5" borderId="1" xfId="2" applyFont="1" applyFill="1" applyBorder="1" applyAlignment="1" applyProtection="1">
      <alignment vertical="center"/>
    </xf>
    <xf numFmtId="44" fontId="5" fillId="5" borderId="9" xfId="2" applyFont="1" applyFill="1" applyBorder="1" applyAlignment="1" applyProtection="1">
      <alignment vertical="center"/>
    </xf>
    <xf numFmtId="44" fontId="1" fillId="5" borderId="10" xfId="2" applyFont="1" applyFill="1" applyBorder="1" applyAlignment="1" applyProtection="1">
      <alignment horizontal="right" vertical="center" wrapText="1" shrinkToFit="1"/>
      <protection locked="0"/>
    </xf>
    <xf numFmtId="1" fontId="1" fillId="5" borderId="10" xfId="1" applyNumberFormat="1" applyFont="1" applyFill="1" applyBorder="1" applyAlignment="1" applyProtection="1">
      <alignment horizontal="right" vertical="center" wrapText="1" shrinkToFit="1"/>
      <protection locked="0"/>
    </xf>
    <xf numFmtId="0" fontId="1" fillId="5" borderId="10" xfId="3" applyFill="1" applyBorder="1" applyAlignment="1" applyProtection="1">
      <alignment horizontal="right" vertical="center" wrapText="1" shrinkToFit="1"/>
      <protection locked="0"/>
    </xf>
    <xf numFmtId="0" fontId="5" fillId="5" borderId="10" xfId="3" applyFont="1" applyFill="1" applyBorder="1" applyAlignment="1">
      <alignment horizontal="left" vertical="center" wrapText="1" shrinkToFit="1"/>
    </xf>
    <xf numFmtId="0" fontId="5" fillId="5" borderId="11" xfId="3" applyFont="1" applyFill="1" applyBorder="1" applyAlignment="1">
      <alignment horizontal="center" vertical="center" wrapText="1" shrinkToFit="1"/>
    </xf>
    <xf numFmtId="44" fontId="1" fillId="0" borderId="0" xfId="3" applyNumberFormat="1" applyAlignment="1">
      <alignment vertical="center"/>
    </xf>
    <xf numFmtId="44" fontId="1" fillId="0" borderId="2" xfId="2" applyFont="1" applyBorder="1" applyAlignment="1" applyProtection="1">
      <alignment horizontal="center" vertical="center"/>
      <protection locked="0"/>
    </xf>
    <xf numFmtId="44" fontId="1" fillId="5" borderId="2" xfId="2" applyFont="1" applyFill="1" applyBorder="1" applyAlignment="1" applyProtection="1">
      <alignment horizontal="right" vertical="center" wrapText="1" shrinkToFit="1"/>
      <protection locked="0"/>
    </xf>
    <xf numFmtId="1" fontId="1" fillId="5" borderId="2" xfId="1" applyNumberFormat="1" applyFont="1" applyFill="1" applyBorder="1" applyAlignment="1" applyProtection="1">
      <alignment horizontal="right" vertical="center" wrapText="1" shrinkToFit="1"/>
      <protection locked="0"/>
    </xf>
    <xf numFmtId="0" fontId="1" fillId="5" borderId="2" xfId="3" applyFill="1" applyBorder="1" applyAlignment="1" applyProtection="1">
      <alignment horizontal="right" vertical="center" wrapText="1" shrinkToFit="1"/>
      <protection locked="0"/>
    </xf>
    <xf numFmtId="0" fontId="5" fillId="5" borderId="2" xfId="3" applyFont="1" applyFill="1" applyBorder="1" applyAlignment="1">
      <alignment horizontal="left" vertical="center" wrapText="1" shrinkToFit="1"/>
    </xf>
    <xf numFmtId="0" fontId="5" fillId="5" borderId="3" xfId="3" applyFont="1" applyFill="1" applyBorder="1" applyAlignment="1">
      <alignment horizontal="center" vertical="center" wrapText="1" shrinkToFit="1"/>
    </xf>
    <xf numFmtId="0" fontId="1" fillId="0" borderId="0" xfId="3" applyAlignment="1">
      <alignment horizontal="center" vertical="center"/>
    </xf>
    <xf numFmtId="0" fontId="1" fillId="0" borderId="0" xfId="0" applyFont="1" applyAlignment="1">
      <alignment vertical="center"/>
    </xf>
    <xf numFmtId="44" fontId="1" fillId="0" borderId="1" xfId="2" applyFont="1" applyBorder="1" applyAlignment="1" applyProtection="1">
      <alignment horizontal="right" vertical="center" wrapText="1" shrinkToFit="1"/>
      <protection locked="0"/>
    </xf>
    <xf numFmtId="1" fontId="1" fillId="0" borderId="2" xfId="1" applyNumberFormat="1" applyFont="1" applyBorder="1" applyAlignment="1" applyProtection="1">
      <alignment horizontal="right" vertical="center" wrapText="1" shrinkToFit="1"/>
      <protection locked="0"/>
    </xf>
    <xf numFmtId="0" fontId="1" fillId="0" borderId="2" xfId="3" applyBorder="1" applyAlignment="1">
      <alignment horizontal="left" vertical="center" wrapText="1" shrinkToFit="1"/>
    </xf>
    <xf numFmtId="0" fontId="1" fillId="0" borderId="0" xfId="3" applyAlignment="1">
      <alignment horizontal="left" vertical="center" wrapText="1" shrinkToFit="1"/>
    </xf>
    <xf numFmtId="164" fontId="1" fillId="5" borderId="2" xfId="1" applyFont="1" applyFill="1" applyBorder="1" applyAlignment="1" applyProtection="1">
      <alignment horizontal="right" vertical="center" wrapText="1" shrinkToFit="1"/>
      <protection locked="0"/>
    </xf>
    <xf numFmtId="0" fontId="5" fillId="0" borderId="24" xfId="0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top"/>
    </xf>
    <xf numFmtId="1" fontId="1" fillId="0" borderId="0" xfId="3" applyNumberFormat="1" applyAlignment="1">
      <alignment vertical="center"/>
    </xf>
    <xf numFmtId="0" fontId="5" fillId="0" borderId="36" xfId="0" applyFont="1" applyBorder="1" applyAlignment="1">
      <alignment horizontal="center" vertical="center" wrapText="1"/>
    </xf>
    <xf numFmtId="8" fontId="1" fillId="0" borderId="2" xfId="2" applyNumberFormat="1" applyFont="1" applyBorder="1" applyAlignment="1" applyProtection="1">
      <alignment horizontal="center" vertical="center"/>
      <protection locked="0"/>
    </xf>
    <xf numFmtId="0" fontId="4" fillId="4" borderId="5" xfId="3" applyFont="1" applyFill="1" applyBorder="1" applyAlignment="1">
      <alignment horizontal="center" vertical="center" wrapText="1" shrinkToFi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35" xfId="0" applyFont="1" applyBorder="1" applyAlignment="1">
      <alignment horizontal="center" vertical="top"/>
    </xf>
    <xf numFmtId="0" fontId="6" fillId="0" borderId="3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29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28" xfId="0" applyFont="1" applyBorder="1" applyAlignment="1">
      <alignment horizontal="center" vertical="top"/>
    </xf>
    <xf numFmtId="0" fontId="7" fillId="0" borderId="39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2" xfId="3" applyFont="1" applyBorder="1" applyAlignment="1">
      <alignment horizontal="left" vertical="center" wrapText="1" shrinkToFit="1"/>
    </xf>
    <xf numFmtId="0" fontId="7" fillId="0" borderId="31" xfId="3" applyFont="1" applyBorder="1" applyAlignment="1">
      <alignment horizontal="left" vertical="center" wrapText="1" shrinkToFit="1"/>
    </xf>
    <xf numFmtId="0" fontId="7" fillId="0" borderId="32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</cellXfs>
  <cellStyles count="4">
    <cellStyle name="Moeda" xfId="2" builtinId="4"/>
    <cellStyle name="Normal" xfId="0" builtinId="0"/>
    <cellStyle name="Texto Explicativo" xfId="3" builtinId="53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41914</xdr:colOff>
      <xdr:row>3</xdr:row>
      <xdr:rowOff>48372</xdr:rowOff>
    </xdr:from>
    <xdr:ext cx="2620738" cy="696174"/>
    <xdr:pic>
      <xdr:nvPicPr>
        <xdr:cNvPr id="2" name="Imagem 2">
          <a:extLst>
            <a:ext uri="{FF2B5EF4-FFF2-40B4-BE49-F238E27FC236}">
              <a16:creationId xmlns:a16="http://schemas.microsoft.com/office/drawing/2014/main" id="{FAB1BA94-ABED-49B9-98DA-7BA3046855C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644855" y="541431"/>
          <a:ext cx="2620738" cy="696174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89FB-AF38-4587-979F-C304AA8C1C79}">
  <sheetPr codeName="Planilha3">
    <pageSetUpPr fitToPage="1"/>
  </sheetPr>
  <dimension ref="A1:AMJ41"/>
  <sheetViews>
    <sheetView showGridLines="0" tabSelected="1" topLeftCell="A10" zoomScale="85" zoomScaleNormal="85" workbookViewId="0">
      <selection activeCell="H36" sqref="H36"/>
    </sheetView>
  </sheetViews>
  <sheetFormatPr defaultColWidth="8.85546875" defaultRowHeight="12.75" x14ac:dyDescent="0.2"/>
  <cols>
    <col min="1" max="1" width="8" style="1" customWidth="1"/>
    <col min="2" max="2" width="5" style="1" bestFit="1" customWidth="1"/>
    <col min="3" max="3" width="70.85546875" style="1" bestFit="1" customWidth="1"/>
    <col min="4" max="4" width="9.140625" style="1" bestFit="1" customWidth="1"/>
    <col min="5" max="5" width="6.28515625" style="1" bestFit="1" customWidth="1"/>
    <col min="6" max="6" width="11.85546875" style="1" customWidth="1"/>
    <col min="7" max="7" width="13.85546875" style="1" customWidth="1"/>
    <col min="8" max="8" width="16.7109375" style="1" bestFit="1" customWidth="1"/>
    <col min="9" max="9" width="13" style="1" customWidth="1"/>
    <col min="10" max="10" width="13.7109375" style="1" customWidth="1"/>
    <col min="11" max="11" width="12.28515625" style="1" bestFit="1" customWidth="1"/>
    <col min="12" max="12" width="13" style="1" customWidth="1"/>
    <col min="13" max="13" width="10.7109375" style="1" customWidth="1"/>
    <col min="14" max="14" width="11.5703125" style="1" customWidth="1"/>
    <col min="15" max="15" width="23.42578125" style="1" customWidth="1"/>
    <col min="16" max="16" width="12" style="1" customWidth="1"/>
    <col min="17" max="17" width="11" style="1" customWidth="1"/>
    <col min="18" max="18" width="9.7109375" style="1" customWidth="1"/>
    <col min="19" max="19" width="13.42578125" style="1" customWidth="1"/>
    <col min="20" max="20" width="12.28515625" style="1" bestFit="1" customWidth="1"/>
    <col min="21" max="21" width="13.5703125" style="1" bestFit="1" customWidth="1"/>
    <col min="22" max="23" width="13.5703125" style="1" customWidth="1"/>
    <col min="24" max="24" width="15.28515625" style="1" bestFit="1" customWidth="1"/>
    <col min="25" max="1024" width="8" style="1" customWidth="1"/>
  </cols>
  <sheetData>
    <row r="1" spans="2:13" s="31" customFormat="1" ht="13.5" thickBot="1" x14ac:dyDescent="0.25">
      <c r="B1" s="1"/>
      <c r="C1" s="1"/>
      <c r="D1" s="1"/>
      <c r="E1" s="44"/>
      <c r="F1" s="1"/>
      <c r="G1" s="1"/>
      <c r="H1" s="1"/>
    </row>
    <row r="2" spans="2:13" s="31" customFormat="1" ht="13.5" thickBot="1" x14ac:dyDescent="0.25">
      <c r="B2" s="71" t="s">
        <v>41</v>
      </c>
      <c r="C2" s="72"/>
      <c r="D2" s="60"/>
      <c r="E2" s="61"/>
      <c r="F2" s="61"/>
      <c r="G2" s="62"/>
      <c r="H2" s="43"/>
      <c r="I2" s="43"/>
      <c r="J2" s="43"/>
    </row>
    <row r="3" spans="2:13" s="31" customFormat="1" x14ac:dyDescent="0.2">
      <c r="B3" s="71"/>
      <c r="C3" s="72"/>
      <c r="D3" s="63"/>
      <c r="E3" s="64"/>
      <c r="F3" s="64"/>
      <c r="G3" s="65"/>
      <c r="H3" s="43"/>
      <c r="I3" s="43"/>
      <c r="J3" s="43"/>
    </row>
    <row r="4" spans="2:13" s="31" customFormat="1" ht="16.5" x14ac:dyDescent="0.2">
      <c r="B4" s="73" t="s">
        <v>40</v>
      </c>
      <c r="C4" s="74"/>
      <c r="D4" s="63"/>
      <c r="E4" s="64"/>
      <c r="F4" s="64"/>
      <c r="G4" s="65"/>
      <c r="H4" s="43"/>
      <c r="I4" s="43"/>
      <c r="J4" s="43"/>
    </row>
    <row r="5" spans="2:13" s="31" customFormat="1" ht="16.5" customHeight="1" x14ac:dyDescent="0.2">
      <c r="B5" s="75" t="s">
        <v>46</v>
      </c>
      <c r="C5" s="76"/>
      <c r="D5" s="63"/>
      <c r="E5" s="64"/>
      <c r="F5" s="64"/>
      <c r="G5" s="65"/>
      <c r="I5" s="42"/>
    </row>
    <row r="6" spans="2:13" s="31" customFormat="1" ht="16.5" customHeight="1" x14ac:dyDescent="0.2">
      <c r="B6" s="75" t="s">
        <v>47</v>
      </c>
      <c r="C6" s="76"/>
      <c r="D6" s="63"/>
      <c r="E6" s="64"/>
      <c r="F6" s="64"/>
      <c r="G6" s="65"/>
    </row>
    <row r="7" spans="2:13" s="31" customFormat="1" ht="41.25" customHeight="1" thickBot="1" x14ac:dyDescent="0.25">
      <c r="B7" s="69" t="s">
        <v>48</v>
      </c>
      <c r="C7" s="70"/>
      <c r="D7" s="66"/>
      <c r="E7" s="67"/>
      <c r="F7" s="67"/>
      <c r="G7" s="68"/>
    </row>
    <row r="8" spans="2:13" s="31" customFormat="1" ht="26.25" thickBot="1" x14ac:dyDescent="0.25">
      <c r="B8" s="41" t="s">
        <v>6</v>
      </c>
      <c r="C8" s="40" t="s">
        <v>26</v>
      </c>
      <c r="D8" s="39" t="s">
        <v>25</v>
      </c>
      <c r="E8" s="38" t="s">
        <v>24</v>
      </c>
      <c r="F8" s="37" t="s">
        <v>23</v>
      </c>
      <c r="G8" s="45" t="s">
        <v>4</v>
      </c>
    </row>
    <row r="9" spans="2:13" x14ac:dyDescent="0.2">
      <c r="B9" s="29" t="s">
        <v>39</v>
      </c>
      <c r="C9" s="28" t="s">
        <v>38</v>
      </c>
      <c r="D9" s="27"/>
      <c r="E9" s="26"/>
      <c r="F9" s="36"/>
      <c r="G9" s="16">
        <f>SUM(G10:G14)</f>
        <v>3153.56</v>
      </c>
      <c r="H9" s="31"/>
      <c r="I9" s="31"/>
      <c r="J9" s="31"/>
      <c r="K9" s="31"/>
    </row>
    <row r="10" spans="2:13" s="1" customFormat="1" x14ac:dyDescent="0.2">
      <c r="B10" s="15" t="s">
        <v>37</v>
      </c>
      <c r="C10" s="14" t="s">
        <v>36</v>
      </c>
      <c r="D10" s="13" t="s">
        <v>7</v>
      </c>
      <c r="E10" s="12">
        <v>3</v>
      </c>
      <c r="F10" s="24">
        <v>296.73</v>
      </c>
      <c r="G10" s="10">
        <f>E10*F10</f>
        <v>890.19</v>
      </c>
      <c r="H10" s="31"/>
      <c r="I10" s="31"/>
      <c r="J10" s="31"/>
      <c r="K10" s="31"/>
    </row>
    <row r="11" spans="2:13" s="1" customFormat="1" x14ac:dyDescent="0.2">
      <c r="B11" s="15" t="s">
        <v>43</v>
      </c>
      <c r="C11" s="14" t="s">
        <v>49</v>
      </c>
      <c r="D11" s="13" t="s">
        <v>7</v>
      </c>
      <c r="E11" s="12">
        <v>6</v>
      </c>
      <c r="F11" s="46">
        <v>180</v>
      </c>
      <c r="G11" s="10">
        <f>E11*F11</f>
        <v>1080</v>
      </c>
      <c r="H11" s="31"/>
      <c r="I11" s="31"/>
      <c r="J11" s="31"/>
      <c r="K11" s="31"/>
    </row>
    <row r="12" spans="2:13" x14ac:dyDescent="0.2">
      <c r="B12" s="15" t="s">
        <v>35</v>
      </c>
      <c r="C12" s="14" t="s">
        <v>34</v>
      </c>
      <c r="D12" s="13" t="s">
        <v>7</v>
      </c>
      <c r="E12" s="12">
        <v>1</v>
      </c>
      <c r="F12" s="24">
        <v>339.31</v>
      </c>
      <c r="G12" s="10">
        <f>E12*F12</f>
        <v>339.31</v>
      </c>
      <c r="H12" s="31"/>
      <c r="I12" s="31"/>
      <c r="J12" s="31"/>
      <c r="K12" s="31"/>
    </row>
    <row r="13" spans="2:13" x14ac:dyDescent="0.2">
      <c r="B13" s="15" t="s">
        <v>56</v>
      </c>
      <c r="C13" s="14" t="s">
        <v>32</v>
      </c>
      <c r="D13" s="13" t="s">
        <v>7</v>
      </c>
      <c r="E13" s="12">
        <v>1</v>
      </c>
      <c r="F13" s="24">
        <v>194.06</v>
      </c>
      <c r="G13" s="10">
        <f>E13*F13</f>
        <v>194.06</v>
      </c>
      <c r="H13" s="31"/>
      <c r="I13" s="31"/>
      <c r="J13" s="31"/>
      <c r="K13" s="31"/>
    </row>
    <row r="14" spans="2:13" ht="14.25" x14ac:dyDescent="0.2">
      <c r="B14" s="15" t="s">
        <v>33</v>
      </c>
      <c r="C14" s="35" t="s">
        <v>31</v>
      </c>
      <c r="D14" s="13" t="s">
        <v>7</v>
      </c>
      <c r="E14" s="12">
        <v>5</v>
      </c>
      <c r="F14" s="24">
        <v>130</v>
      </c>
      <c r="G14" s="10">
        <f>E14*F14</f>
        <v>650</v>
      </c>
      <c r="H14" s="42"/>
      <c r="I14" s="42"/>
      <c r="J14" s="42"/>
      <c r="K14" s="42"/>
      <c r="L14" s="42"/>
      <c r="M14" s="42"/>
    </row>
    <row r="15" spans="2:13" s="30" customFormat="1" ht="14.25" x14ac:dyDescent="0.2">
      <c r="B15" s="15"/>
      <c r="C15" s="34"/>
      <c r="D15" s="13"/>
      <c r="E15" s="33"/>
      <c r="F15" s="24"/>
      <c r="G15" s="32"/>
      <c r="H15" s="42"/>
      <c r="I15" s="42"/>
      <c r="J15" s="42"/>
      <c r="K15" s="42"/>
      <c r="L15" s="42"/>
      <c r="M15" s="42"/>
    </row>
    <row r="16" spans="2:13" s="30" customFormat="1" ht="14.25" x14ac:dyDescent="0.2">
      <c r="B16" s="29" t="s">
        <v>30</v>
      </c>
      <c r="C16" s="28" t="s">
        <v>29</v>
      </c>
      <c r="D16" s="27"/>
      <c r="E16" s="26"/>
      <c r="F16" s="25"/>
      <c r="G16" s="16">
        <f>SUM(G17:G17)</f>
        <v>460</v>
      </c>
      <c r="H16" s="42"/>
      <c r="I16" s="42"/>
      <c r="J16" s="42"/>
      <c r="K16" s="42"/>
      <c r="L16" s="42"/>
      <c r="M16" s="42"/>
    </row>
    <row r="17" spans="2:20" s="30" customFormat="1" ht="14.25" x14ac:dyDescent="0.2">
      <c r="B17" s="15" t="s">
        <v>28</v>
      </c>
      <c r="C17" s="14" t="s">
        <v>27</v>
      </c>
      <c r="D17" s="13" t="s">
        <v>7</v>
      </c>
      <c r="E17" s="12">
        <v>46</v>
      </c>
      <c r="F17" s="24">
        <v>10</v>
      </c>
      <c r="G17" s="10">
        <f>E17*F17</f>
        <v>460</v>
      </c>
      <c r="H17" s="42"/>
      <c r="I17" s="42"/>
      <c r="J17" s="42"/>
      <c r="K17" s="42"/>
      <c r="L17" s="42"/>
      <c r="M17" s="42"/>
    </row>
    <row r="18" spans="2:20" s="30" customFormat="1" ht="15" thickBot="1" x14ac:dyDescent="0.25">
      <c r="B18" s="15"/>
      <c r="C18" s="14"/>
      <c r="D18" s="13"/>
      <c r="E18" s="12"/>
      <c r="F18" s="24"/>
      <c r="G18" s="10"/>
      <c r="H18" s="42"/>
      <c r="I18" s="42"/>
      <c r="J18" s="42"/>
      <c r="K18" s="42"/>
      <c r="L18" s="42"/>
      <c r="M18" s="42"/>
    </row>
    <row r="19" spans="2:20" ht="14.25" x14ac:dyDescent="0.2">
      <c r="B19" s="48" t="s">
        <v>6</v>
      </c>
      <c r="C19" s="50" t="s">
        <v>26</v>
      </c>
      <c r="D19" s="52" t="s">
        <v>25</v>
      </c>
      <c r="E19" s="54" t="s">
        <v>24</v>
      </c>
      <c r="F19" s="56" t="s">
        <v>23</v>
      </c>
      <c r="G19" s="58" t="s">
        <v>4</v>
      </c>
      <c r="H19" s="42"/>
      <c r="I19" s="42"/>
      <c r="J19" s="42"/>
      <c r="K19" s="42"/>
      <c r="L19" s="42"/>
      <c r="M19" s="42"/>
    </row>
    <row r="20" spans="2:20" ht="15" thickBot="1" x14ac:dyDescent="0.25">
      <c r="B20" s="49"/>
      <c r="C20" s="51"/>
      <c r="D20" s="53"/>
      <c r="E20" s="55"/>
      <c r="F20" s="57"/>
      <c r="G20" s="59"/>
      <c r="H20" s="42"/>
      <c r="I20" s="42"/>
      <c r="J20" s="42"/>
      <c r="K20" s="42"/>
      <c r="L20" s="42"/>
      <c r="M20" s="42"/>
    </row>
    <row r="21" spans="2:20" ht="14.25" x14ac:dyDescent="0.2">
      <c r="B21" s="22" t="s">
        <v>22</v>
      </c>
      <c r="C21" s="21" t="s">
        <v>21</v>
      </c>
      <c r="D21" s="20"/>
      <c r="E21" s="19"/>
      <c r="F21" s="18"/>
      <c r="G21" s="17">
        <f>SUM(G22:G31)</f>
        <v>10071.92</v>
      </c>
      <c r="H21" s="42"/>
      <c r="I21" s="42"/>
      <c r="J21" s="42"/>
      <c r="K21" s="42"/>
      <c r="L21" s="42"/>
      <c r="M21" s="42"/>
    </row>
    <row r="22" spans="2:20" ht="14.25" x14ac:dyDescent="0.2">
      <c r="B22" s="15" t="s">
        <v>20</v>
      </c>
      <c r="C22" s="14" t="s">
        <v>19</v>
      </c>
      <c r="D22" s="13" t="s">
        <v>7</v>
      </c>
      <c r="E22" s="12">
        <v>46</v>
      </c>
      <c r="F22" s="11">
        <v>12.65</v>
      </c>
      <c r="G22" s="10">
        <f t="shared" ref="G22:G31" si="0">E22*F22</f>
        <v>581.9</v>
      </c>
      <c r="H22" s="42"/>
      <c r="I22" s="42"/>
      <c r="J22" s="42"/>
      <c r="K22" s="42"/>
      <c r="L22" s="42"/>
      <c r="M22" s="42"/>
    </row>
    <row r="23" spans="2:20" ht="14.25" x14ac:dyDescent="0.2">
      <c r="B23" s="15" t="s">
        <v>42</v>
      </c>
      <c r="C23" s="14" t="s">
        <v>17</v>
      </c>
      <c r="D23" s="13" t="s">
        <v>16</v>
      </c>
      <c r="E23" s="12">
        <v>3050</v>
      </c>
      <c r="F23" s="11">
        <v>2.06</v>
      </c>
      <c r="G23" s="10">
        <f t="shared" si="0"/>
        <v>6283</v>
      </c>
      <c r="H23" s="42"/>
      <c r="I23" s="42"/>
      <c r="J23" s="42"/>
      <c r="K23" s="42"/>
      <c r="L23" s="42"/>
      <c r="M23" s="42"/>
    </row>
    <row r="24" spans="2:20" ht="14.25" x14ac:dyDescent="0.2">
      <c r="B24" s="15" t="s">
        <v>18</v>
      </c>
      <c r="C24" s="14" t="s">
        <v>54</v>
      </c>
      <c r="D24" s="13" t="s">
        <v>7</v>
      </c>
      <c r="E24" s="12">
        <v>2</v>
      </c>
      <c r="F24" s="11">
        <v>361.4</v>
      </c>
      <c r="G24" s="10">
        <f>E24*F24</f>
        <v>722.8</v>
      </c>
      <c r="H24" s="42"/>
      <c r="I24" s="42"/>
      <c r="J24" s="42"/>
      <c r="K24" s="42"/>
      <c r="L24" s="42"/>
      <c r="M24" s="42"/>
    </row>
    <row r="25" spans="2:20" ht="14.25" x14ac:dyDescent="0.2">
      <c r="B25" s="15" t="s">
        <v>15</v>
      </c>
      <c r="C25" s="14" t="s">
        <v>45</v>
      </c>
      <c r="D25" s="13" t="s">
        <v>7</v>
      </c>
      <c r="E25" s="12">
        <v>1</v>
      </c>
      <c r="F25" s="11">
        <v>30</v>
      </c>
      <c r="G25" s="10">
        <f>E25*F25</f>
        <v>30</v>
      </c>
      <c r="H25" s="42"/>
      <c r="I25" s="42"/>
      <c r="J25" s="42"/>
      <c r="K25" s="42"/>
      <c r="L25" s="42"/>
      <c r="M25" s="42"/>
    </row>
    <row r="26" spans="2:20" ht="14.25" x14ac:dyDescent="0.2">
      <c r="B26" s="15" t="s">
        <v>13</v>
      </c>
      <c r="C26" s="14" t="s">
        <v>50</v>
      </c>
      <c r="D26" s="13" t="s">
        <v>7</v>
      </c>
      <c r="E26" s="12">
        <v>46</v>
      </c>
      <c r="F26" s="11">
        <v>19.68</v>
      </c>
      <c r="G26" s="10">
        <f>E26*F26</f>
        <v>905.28</v>
      </c>
      <c r="H26" s="42"/>
      <c r="I26" s="42"/>
      <c r="J26" s="42"/>
      <c r="K26" s="42"/>
      <c r="L26" s="42"/>
      <c r="M26" s="42"/>
    </row>
    <row r="27" spans="2:20" ht="14.25" x14ac:dyDescent="0.2">
      <c r="B27" s="15" t="s">
        <v>11</v>
      </c>
      <c r="C27" s="14" t="s">
        <v>51</v>
      </c>
      <c r="D27" s="13" t="s">
        <v>7</v>
      </c>
      <c r="E27" s="12">
        <v>46</v>
      </c>
      <c r="F27" s="11">
        <v>26.39</v>
      </c>
      <c r="G27" s="10">
        <f>E27*F27</f>
        <v>1213.94</v>
      </c>
      <c r="H27" s="42"/>
      <c r="I27" s="42"/>
      <c r="J27" s="42"/>
      <c r="K27" s="42"/>
      <c r="L27" s="42"/>
      <c r="M27" s="42"/>
    </row>
    <row r="28" spans="2:20" ht="14.25" x14ac:dyDescent="0.2">
      <c r="B28" s="15" t="s">
        <v>9</v>
      </c>
      <c r="C28" s="14" t="s">
        <v>14</v>
      </c>
      <c r="D28" s="13" t="s">
        <v>7</v>
      </c>
      <c r="E28" s="12">
        <v>1</v>
      </c>
      <c r="F28" s="11">
        <v>85</v>
      </c>
      <c r="G28" s="10">
        <f t="shared" si="0"/>
        <v>85</v>
      </c>
      <c r="H28" s="42"/>
      <c r="I28" s="42"/>
      <c r="J28" s="42"/>
      <c r="K28" s="42"/>
      <c r="L28" s="42"/>
      <c r="M28" s="42"/>
      <c r="P28" s="23"/>
    </row>
    <row r="29" spans="2:20" ht="14.25" x14ac:dyDescent="0.2">
      <c r="B29" s="15" t="s">
        <v>8</v>
      </c>
      <c r="C29" s="14" t="s">
        <v>12</v>
      </c>
      <c r="D29" s="13" t="s">
        <v>7</v>
      </c>
      <c r="E29" s="12">
        <v>2</v>
      </c>
      <c r="F29" s="11">
        <v>85</v>
      </c>
      <c r="G29" s="10">
        <f t="shared" si="0"/>
        <v>170</v>
      </c>
      <c r="H29" s="42"/>
      <c r="I29" s="42"/>
      <c r="J29" s="42"/>
      <c r="K29" s="42"/>
      <c r="L29" s="42"/>
      <c r="M29" s="42"/>
    </row>
    <row r="30" spans="2:20" ht="14.25" x14ac:dyDescent="0.2">
      <c r="B30" s="15" t="s">
        <v>52</v>
      </c>
      <c r="C30" s="14" t="s">
        <v>44</v>
      </c>
      <c r="D30" s="13" t="s">
        <v>7</v>
      </c>
      <c r="E30" s="12">
        <v>3</v>
      </c>
      <c r="F30" s="11">
        <v>20</v>
      </c>
      <c r="G30" s="10">
        <f t="shared" si="0"/>
        <v>60</v>
      </c>
      <c r="H30" s="42"/>
      <c r="I30" s="42"/>
      <c r="J30" s="42"/>
      <c r="K30" s="42"/>
      <c r="L30" s="42"/>
      <c r="M30" s="42"/>
    </row>
    <row r="31" spans="2:20" ht="15" thickBot="1" x14ac:dyDescent="0.25">
      <c r="B31" s="15" t="s">
        <v>53</v>
      </c>
      <c r="C31" s="14" t="s">
        <v>10</v>
      </c>
      <c r="D31" s="13" t="s">
        <v>7</v>
      </c>
      <c r="E31" s="12">
        <v>1</v>
      </c>
      <c r="F31" s="11">
        <v>20</v>
      </c>
      <c r="G31" s="10">
        <f t="shared" si="0"/>
        <v>20</v>
      </c>
      <c r="H31" s="42"/>
      <c r="I31" s="42"/>
      <c r="J31" s="42"/>
      <c r="K31" s="42"/>
      <c r="L31" s="42"/>
      <c r="M31" s="42"/>
    </row>
    <row r="32" spans="2:20" ht="14.25" x14ac:dyDescent="0.2">
      <c r="B32" s="9" t="s">
        <v>6</v>
      </c>
      <c r="C32" s="47" t="s">
        <v>5</v>
      </c>
      <c r="D32" s="47"/>
      <c r="E32" s="47"/>
      <c r="F32" s="47"/>
      <c r="G32" s="8" t="s">
        <v>4</v>
      </c>
      <c r="H32" s="42"/>
      <c r="I32" s="42"/>
      <c r="J32" s="42"/>
      <c r="K32" s="42"/>
      <c r="L32" s="42"/>
      <c r="M32" s="42"/>
      <c r="N32" s="23"/>
      <c r="T32" s="23"/>
    </row>
    <row r="33" spans="2:14" ht="14.25" x14ac:dyDescent="0.2">
      <c r="B33" s="7" t="s">
        <v>3</v>
      </c>
      <c r="C33" s="6" t="str">
        <f>C9</f>
        <v>Instalações de Infra Fisica + Rede Lógica para LAN (MÃO-DE-OBRA)</v>
      </c>
      <c r="D33" s="6"/>
      <c r="E33" s="6"/>
      <c r="F33" s="6"/>
      <c r="G33" s="5">
        <f>G9</f>
        <v>3153.56</v>
      </c>
      <c r="H33" s="42"/>
      <c r="I33" s="42"/>
      <c r="J33" s="42"/>
      <c r="K33" s="42"/>
      <c r="L33" s="42"/>
      <c r="M33" s="42"/>
      <c r="N33" s="23"/>
    </row>
    <row r="34" spans="2:14" x14ac:dyDescent="0.2">
      <c r="B34" s="7" t="s">
        <v>2</v>
      </c>
      <c r="C34" s="6" t="str">
        <f>C17</f>
        <v>Certificação de ponto de lógica (MÃO-DE-OBRA)</v>
      </c>
      <c r="D34" s="6"/>
      <c r="E34" s="6"/>
      <c r="F34" s="6"/>
      <c r="G34" s="5">
        <f>G16</f>
        <v>460</v>
      </c>
      <c r="L34" s="23"/>
      <c r="N34" s="23"/>
    </row>
    <row r="35" spans="2:14" x14ac:dyDescent="0.2">
      <c r="B35" s="7" t="s">
        <v>55</v>
      </c>
      <c r="C35" s="6" t="str">
        <f>C21</f>
        <v xml:space="preserve">Orçamento de Material para LAN - Cat 5E </v>
      </c>
      <c r="D35" s="6"/>
      <c r="E35" s="6"/>
      <c r="F35" s="6"/>
      <c r="G35" s="5">
        <f>G21</f>
        <v>10071.92</v>
      </c>
      <c r="L35" s="23"/>
      <c r="N35" s="23"/>
    </row>
    <row r="36" spans="2:14" x14ac:dyDescent="0.2">
      <c r="B36" s="4" t="s">
        <v>1</v>
      </c>
      <c r="C36" s="3" t="s">
        <v>0</v>
      </c>
      <c r="D36" s="3"/>
      <c r="E36" s="3"/>
      <c r="F36" s="3"/>
      <c r="G36" s="2">
        <f>SUM(G33:G35)</f>
        <v>13685.48</v>
      </c>
      <c r="H36" s="23"/>
      <c r="I36" s="23"/>
      <c r="L36" s="23"/>
      <c r="N36" s="23"/>
    </row>
    <row r="37" spans="2:14" x14ac:dyDescent="0.2">
      <c r="I37" s="23"/>
      <c r="L37" s="23"/>
      <c r="N37" s="23"/>
    </row>
    <row r="38" spans="2:14" x14ac:dyDescent="0.2">
      <c r="I38" s="23"/>
      <c r="N38" s="23"/>
    </row>
    <row r="39" spans="2:14" x14ac:dyDescent="0.2">
      <c r="I39" s="23"/>
      <c r="N39" s="23"/>
    </row>
    <row r="40" spans="2:14" x14ac:dyDescent="0.2">
      <c r="I40" s="23"/>
      <c r="N40" s="23"/>
    </row>
    <row r="41" spans="2:14" x14ac:dyDescent="0.2">
      <c r="I41" s="23"/>
    </row>
  </sheetData>
  <mergeCells count="13">
    <mergeCell ref="G19:G20"/>
    <mergeCell ref="D2:G7"/>
    <mergeCell ref="B7:C7"/>
    <mergeCell ref="B2:C3"/>
    <mergeCell ref="B4:C4"/>
    <mergeCell ref="B5:C5"/>
    <mergeCell ref="B6:C6"/>
    <mergeCell ref="C32:F32"/>
    <mergeCell ref="B19:B20"/>
    <mergeCell ref="C19:C20"/>
    <mergeCell ref="D19:D20"/>
    <mergeCell ref="E19:E20"/>
    <mergeCell ref="F19:F20"/>
  </mergeCells>
  <phoneticPr fontId="9" type="noConversion"/>
  <printOptions horizontalCentered="1"/>
  <pageMargins left="0.51180555555555496" right="0.51180555555555496" top="0.78749999999999998" bottom="0.59027777777777801" header="0.51180555555555496" footer="0.51180555555555496"/>
  <pageSetup paperSize="9" scale="60" firstPageNumber="0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Casa &amp; Video CD</vt:lpstr>
      <vt:lpstr>'Casa &amp; Video CD'!Titulos_de_impressao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De Castro Barreira</dc:creator>
  <cp:lastModifiedBy>George De Castro Barreira</cp:lastModifiedBy>
  <dcterms:created xsi:type="dcterms:W3CDTF">2021-04-06T17:31:50Z</dcterms:created>
  <dcterms:modified xsi:type="dcterms:W3CDTF">2021-05-06T17:36:37Z</dcterms:modified>
</cp:coreProperties>
</file>